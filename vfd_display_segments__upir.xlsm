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cla\Desktop\desktop\youtube_upir\projects_100\200_aliexpress_vfd_various_modules\_GitHub\"/>
    </mc:Choice>
  </mc:AlternateContent>
  <xr:revisionPtr revIDLastSave="0" documentId="13_ncr:1_{CE9DA0DE-B663-43A0-AED0-CDF1D8BC6147}" xr6:coauthVersionLast="47" xr6:coauthVersionMax="47" xr10:uidLastSave="{00000000-0000-0000-0000-000000000000}"/>
  <bookViews>
    <workbookView xWindow="3525" yWindow="705" windowWidth="31035" windowHeight="18720" tabRatio="733" activeTab="8" xr2:uid="{2C444F65-38E0-42B8-A122-815289D324B0}"/>
  </bookViews>
  <sheets>
    <sheet name="i love" sheetId="4" r:id="rId1"/>
    <sheet name="vfds" sheetId="5" r:id="rId2"/>
    <sheet name="hello" sheetId="6" r:id="rId3"/>
    <sheet name="world" sheetId="7" r:id="rId4"/>
    <sheet name="all lit" sheetId="8" r:id="rId5"/>
    <sheet name="1-6" sheetId="9" r:id="rId6"/>
    <sheet name="7-0" sheetId="10" r:id="rId7"/>
    <sheet name="smileys" sheetId="12" r:id="rId8"/>
    <sheet name="pcbway" sheetId="1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8" i="13" l="1"/>
  <c r="L51" i="13"/>
  <c r="K51" i="13"/>
  <c r="O61" i="13" s="1"/>
  <c r="J51" i="13"/>
  <c r="O54" i="13" s="1"/>
  <c r="I51" i="13"/>
  <c r="O47" i="13" s="1"/>
  <c r="H51" i="13"/>
  <c r="O40" i="13" s="1"/>
  <c r="G51" i="13"/>
  <c r="F51" i="13"/>
  <c r="O26" i="13" s="1"/>
  <c r="L50" i="13"/>
  <c r="O67" i="13" s="1"/>
  <c r="K50" i="13"/>
  <c r="O60" i="13" s="1"/>
  <c r="J50" i="13"/>
  <c r="O53" i="13" s="1"/>
  <c r="I50" i="13"/>
  <c r="O46" i="13" s="1"/>
  <c r="H50" i="13"/>
  <c r="O39" i="13" s="1"/>
  <c r="G50" i="13"/>
  <c r="O32" i="13" s="1"/>
  <c r="F50" i="13"/>
  <c r="O25" i="13" s="1"/>
  <c r="L49" i="13"/>
  <c r="O66" i="13" s="1"/>
  <c r="K49" i="13"/>
  <c r="O59" i="13" s="1"/>
  <c r="J49" i="13"/>
  <c r="O52" i="13" s="1"/>
  <c r="I49" i="13"/>
  <c r="O45" i="13" s="1"/>
  <c r="H49" i="13"/>
  <c r="O38" i="13" s="1"/>
  <c r="G49" i="13"/>
  <c r="O31" i="13" s="1"/>
  <c r="F49" i="13"/>
  <c r="O24" i="13" s="1"/>
  <c r="O33" i="13"/>
  <c r="L51" i="12"/>
  <c r="O68" i="12" s="1"/>
  <c r="K51" i="12"/>
  <c r="O61" i="12" s="1"/>
  <c r="J51" i="12"/>
  <c r="O54" i="12" s="1"/>
  <c r="I51" i="12"/>
  <c r="O47" i="12" s="1"/>
  <c r="H51" i="12"/>
  <c r="O40" i="12" s="1"/>
  <c r="G51" i="12"/>
  <c r="F51" i="12"/>
  <c r="O26" i="12" s="1"/>
  <c r="L50" i="12"/>
  <c r="O67" i="12" s="1"/>
  <c r="K50" i="12"/>
  <c r="O60" i="12" s="1"/>
  <c r="J50" i="12"/>
  <c r="O53" i="12" s="1"/>
  <c r="I50" i="12"/>
  <c r="O46" i="12" s="1"/>
  <c r="H50" i="12"/>
  <c r="O39" i="12" s="1"/>
  <c r="G50" i="12"/>
  <c r="O32" i="12" s="1"/>
  <c r="F50" i="12"/>
  <c r="O25" i="12" s="1"/>
  <c r="L49" i="12"/>
  <c r="O66" i="12" s="1"/>
  <c r="K49" i="12"/>
  <c r="O59" i="12" s="1"/>
  <c r="J49" i="12"/>
  <c r="O52" i="12" s="1"/>
  <c r="I49" i="12"/>
  <c r="O45" i="12" s="1"/>
  <c r="H49" i="12"/>
  <c r="O38" i="12" s="1"/>
  <c r="G49" i="12"/>
  <c r="O31" i="12" s="1"/>
  <c r="F49" i="12"/>
  <c r="O24" i="12" s="1"/>
  <c r="O33" i="12"/>
  <c r="L51" i="10"/>
  <c r="O68" i="10" s="1"/>
  <c r="K51" i="10"/>
  <c r="O61" i="10" s="1"/>
  <c r="J51" i="10"/>
  <c r="O54" i="10" s="1"/>
  <c r="I51" i="10"/>
  <c r="O47" i="10" s="1"/>
  <c r="H51" i="10"/>
  <c r="O40" i="10" s="1"/>
  <c r="G51" i="10"/>
  <c r="F51" i="10"/>
  <c r="O26" i="10" s="1"/>
  <c r="L50" i="10"/>
  <c r="O67" i="10" s="1"/>
  <c r="K50" i="10"/>
  <c r="O60" i="10" s="1"/>
  <c r="J50" i="10"/>
  <c r="O53" i="10" s="1"/>
  <c r="I50" i="10"/>
  <c r="O46" i="10" s="1"/>
  <c r="H50" i="10"/>
  <c r="O39" i="10" s="1"/>
  <c r="G50" i="10"/>
  <c r="O32" i="10" s="1"/>
  <c r="F50" i="10"/>
  <c r="O25" i="10" s="1"/>
  <c r="L49" i="10"/>
  <c r="O66" i="10" s="1"/>
  <c r="K49" i="10"/>
  <c r="O59" i="10" s="1"/>
  <c r="J49" i="10"/>
  <c r="O52" i="10" s="1"/>
  <c r="I49" i="10"/>
  <c r="O45" i="10" s="1"/>
  <c r="H49" i="10"/>
  <c r="O38" i="10" s="1"/>
  <c r="G49" i="10"/>
  <c r="O31" i="10" s="1"/>
  <c r="F49" i="10"/>
  <c r="O24" i="10" s="1"/>
  <c r="O33" i="10"/>
  <c r="O68" i="9"/>
  <c r="O54" i="9"/>
  <c r="L51" i="9"/>
  <c r="K51" i="9"/>
  <c r="O61" i="9" s="1"/>
  <c r="J51" i="9"/>
  <c r="I51" i="9"/>
  <c r="O47" i="9" s="1"/>
  <c r="H51" i="9"/>
  <c r="O40" i="9" s="1"/>
  <c r="G51" i="9"/>
  <c r="O33" i="9" s="1"/>
  <c r="F51" i="9"/>
  <c r="O26" i="9" s="1"/>
  <c r="L50" i="9"/>
  <c r="O67" i="9" s="1"/>
  <c r="K50" i="9"/>
  <c r="O60" i="9" s="1"/>
  <c r="J50" i="9"/>
  <c r="O53" i="9" s="1"/>
  <c r="I50" i="9"/>
  <c r="O46" i="9" s="1"/>
  <c r="H50" i="9"/>
  <c r="O39" i="9" s="1"/>
  <c r="G50" i="9"/>
  <c r="O32" i="9" s="1"/>
  <c r="F50" i="9"/>
  <c r="O25" i="9" s="1"/>
  <c r="L49" i="9"/>
  <c r="O66" i="9" s="1"/>
  <c r="K49" i="9"/>
  <c r="O59" i="9" s="1"/>
  <c r="J49" i="9"/>
  <c r="O52" i="9" s="1"/>
  <c r="I49" i="9"/>
  <c r="O45" i="9" s="1"/>
  <c r="H49" i="9"/>
  <c r="O38" i="9" s="1"/>
  <c r="G49" i="9"/>
  <c r="O31" i="9" s="1"/>
  <c r="F49" i="9"/>
  <c r="O24" i="9" s="1"/>
  <c r="O68" i="8"/>
  <c r="L51" i="8"/>
  <c r="K51" i="8"/>
  <c r="O61" i="8" s="1"/>
  <c r="J51" i="8"/>
  <c r="O54" i="8" s="1"/>
  <c r="I51" i="8"/>
  <c r="O47" i="8" s="1"/>
  <c r="H51" i="8"/>
  <c r="O40" i="8" s="1"/>
  <c r="G51" i="8"/>
  <c r="O33" i="8" s="1"/>
  <c r="F51" i="8"/>
  <c r="O26" i="8" s="1"/>
  <c r="L50" i="8"/>
  <c r="O67" i="8" s="1"/>
  <c r="K50" i="8"/>
  <c r="O60" i="8" s="1"/>
  <c r="J50" i="8"/>
  <c r="O53" i="8" s="1"/>
  <c r="I50" i="8"/>
  <c r="O46" i="8" s="1"/>
  <c r="H50" i="8"/>
  <c r="O39" i="8" s="1"/>
  <c r="G50" i="8"/>
  <c r="O32" i="8" s="1"/>
  <c r="F50" i="8"/>
  <c r="O25" i="8" s="1"/>
  <c r="L49" i="8"/>
  <c r="O66" i="8" s="1"/>
  <c r="K49" i="8"/>
  <c r="O59" i="8" s="1"/>
  <c r="J49" i="8"/>
  <c r="O52" i="8" s="1"/>
  <c r="I49" i="8"/>
  <c r="O45" i="8" s="1"/>
  <c r="H49" i="8"/>
  <c r="O38" i="8" s="1"/>
  <c r="G49" i="8"/>
  <c r="O31" i="8" s="1"/>
  <c r="F49" i="8"/>
  <c r="O24" i="8" s="1"/>
  <c r="O60" i="7"/>
  <c r="O53" i="7"/>
  <c r="L51" i="7"/>
  <c r="O68" i="7" s="1"/>
  <c r="K51" i="7"/>
  <c r="O61" i="7" s="1"/>
  <c r="J51" i="7"/>
  <c r="O54" i="7" s="1"/>
  <c r="I51" i="7"/>
  <c r="O47" i="7" s="1"/>
  <c r="H51" i="7"/>
  <c r="O40" i="7" s="1"/>
  <c r="G51" i="7"/>
  <c r="F51" i="7"/>
  <c r="O26" i="7" s="1"/>
  <c r="L50" i="7"/>
  <c r="O67" i="7" s="1"/>
  <c r="K50" i="7"/>
  <c r="J50" i="7"/>
  <c r="I50" i="7"/>
  <c r="H50" i="7"/>
  <c r="O39" i="7" s="1"/>
  <c r="G50" i="7"/>
  <c r="O32" i="7" s="1"/>
  <c r="F50" i="7"/>
  <c r="O25" i="7" s="1"/>
  <c r="L49" i="7"/>
  <c r="O66" i="7" s="1"/>
  <c r="K49" i="7"/>
  <c r="O59" i="7" s="1"/>
  <c r="J49" i="7"/>
  <c r="O52" i="7" s="1"/>
  <c r="I49" i="7"/>
  <c r="O45" i="7" s="1"/>
  <c r="H49" i="7"/>
  <c r="O38" i="7" s="1"/>
  <c r="G49" i="7"/>
  <c r="O31" i="7" s="1"/>
  <c r="F49" i="7"/>
  <c r="O46" i="7"/>
  <c r="O33" i="7"/>
  <c r="O24" i="7"/>
  <c r="O68" i="6"/>
  <c r="O61" i="6"/>
  <c r="L51" i="6"/>
  <c r="K51" i="6"/>
  <c r="J51" i="6"/>
  <c r="O54" i="6" s="1"/>
  <c r="I51" i="6"/>
  <c r="O47" i="6" s="1"/>
  <c r="H51" i="6"/>
  <c r="O40" i="6" s="1"/>
  <c r="G51" i="6"/>
  <c r="O33" i="6" s="1"/>
  <c r="F51" i="6"/>
  <c r="O26" i="6" s="1"/>
  <c r="L50" i="6"/>
  <c r="O67" i="6" s="1"/>
  <c r="K50" i="6"/>
  <c r="O60" i="6" s="1"/>
  <c r="J50" i="6"/>
  <c r="O53" i="6" s="1"/>
  <c r="I50" i="6"/>
  <c r="H50" i="6"/>
  <c r="O39" i="6" s="1"/>
  <c r="G50" i="6"/>
  <c r="O32" i="6" s="1"/>
  <c r="F50" i="6"/>
  <c r="O25" i="6" s="1"/>
  <c r="L49" i="6"/>
  <c r="O66" i="6" s="1"/>
  <c r="K49" i="6"/>
  <c r="O59" i="6" s="1"/>
  <c r="J49" i="6"/>
  <c r="O52" i="6" s="1"/>
  <c r="I49" i="6"/>
  <c r="O45" i="6" s="1"/>
  <c r="H49" i="6"/>
  <c r="O38" i="6" s="1"/>
  <c r="G49" i="6"/>
  <c r="O31" i="6" s="1"/>
  <c r="F49" i="6"/>
  <c r="O24" i="6" s="1"/>
  <c r="O46" i="6"/>
  <c r="O66" i="5"/>
  <c r="O59" i="5"/>
  <c r="O53" i="5"/>
  <c r="L51" i="5"/>
  <c r="O68" i="5" s="1"/>
  <c r="K51" i="5"/>
  <c r="O61" i="5" s="1"/>
  <c r="J51" i="5"/>
  <c r="O54" i="5" s="1"/>
  <c r="I51" i="5"/>
  <c r="O47" i="5" s="1"/>
  <c r="H51" i="5"/>
  <c r="G51" i="5"/>
  <c r="F51" i="5"/>
  <c r="O26" i="5" s="1"/>
  <c r="L50" i="5"/>
  <c r="O67" i="5" s="1"/>
  <c r="K50" i="5"/>
  <c r="O60" i="5" s="1"/>
  <c r="J50" i="5"/>
  <c r="I50" i="5"/>
  <c r="H50" i="5"/>
  <c r="O39" i="5" s="1"/>
  <c r="G50" i="5"/>
  <c r="O32" i="5" s="1"/>
  <c r="F50" i="5"/>
  <c r="O25" i="5" s="1"/>
  <c r="L49" i="5"/>
  <c r="K49" i="5"/>
  <c r="J49" i="5"/>
  <c r="O52" i="5" s="1"/>
  <c r="I49" i="5"/>
  <c r="H49" i="5"/>
  <c r="O38" i="5" s="1"/>
  <c r="G49" i="5"/>
  <c r="O31" i="5" s="1"/>
  <c r="F49" i="5"/>
  <c r="O24" i="5" s="1"/>
  <c r="O46" i="5"/>
  <c r="O45" i="5"/>
  <c r="O40" i="5"/>
  <c r="O33" i="5"/>
  <c r="O68" i="4"/>
  <c r="L49" i="4"/>
  <c r="O66" i="4" s="1"/>
  <c r="L50" i="4"/>
  <c r="O67" i="4" s="1"/>
  <c r="L51" i="4"/>
  <c r="G49" i="4"/>
  <c r="O31" i="4" s="1"/>
  <c r="H49" i="4"/>
  <c r="O38" i="4" s="1"/>
  <c r="I49" i="4"/>
  <c r="O45" i="4" s="1"/>
  <c r="J49" i="4"/>
  <c r="O52" i="4" s="1"/>
  <c r="K49" i="4"/>
  <c r="O59" i="4" s="1"/>
  <c r="G50" i="4"/>
  <c r="O32" i="4" s="1"/>
  <c r="H50" i="4"/>
  <c r="O39" i="4" s="1"/>
  <c r="I50" i="4"/>
  <c r="O46" i="4" s="1"/>
  <c r="J50" i="4"/>
  <c r="O53" i="4" s="1"/>
  <c r="K50" i="4"/>
  <c r="O60" i="4" s="1"/>
  <c r="G51" i="4"/>
  <c r="O33" i="4" s="1"/>
  <c r="H51" i="4"/>
  <c r="O40" i="4" s="1"/>
  <c r="I51" i="4"/>
  <c r="O47" i="4" s="1"/>
  <c r="J51" i="4"/>
  <c r="O54" i="4" s="1"/>
  <c r="K51" i="4"/>
  <c r="O61" i="4" s="1"/>
  <c r="F51" i="4"/>
  <c r="O26" i="4" s="1"/>
  <c r="F50" i="4"/>
  <c r="O25" i="4" s="1"/>
  <c r="F49" i="4"/>
  <c r="O24" i="4" s="1"/>
</calcChain>
</file>

<file path=xl/sharedStrings.xml><?xml version="1.0" encoding="utf-8"?>
<sst xmlns="http://schemas.openxmlformats.org/spreadsheetml/2006/main" count="549" uniqueCount="30">
  <si>
    <t>segment</t>
  </si>
  <si>
    <t>position</t>
  </si>
  <si>
    <t>byte 0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</si>
  <si>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</si>
  <si>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</si>
  <si>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</si>
  <si>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</si>
  <si>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</si>
  <si>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</si>
  <si>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</si>
  <si>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</si>
  <si>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// character 0</t>
  </si>
  <si>
    <t>// character 1</t>
  </si>
  <si>
    <t>// character 2</t>
  </si>
  <si>
    <t>// character 3</t>
  </si>
  <si>
    <t>// character 4</t>
  </si>
  <si>
    <t>// character 5</t>
  </si>
  <si>
    <t>byte 1</t>
  </si>
  <si>
    <t>byte 2</t>
  </si>
  <si>
    <t>byte</t>
  </si>
  <si>
    <t>CLR_PT6315_CS; // toggle chip select pin</t>
  </si>
  <si>
    <t>SET_PT6315_CS; // toggle chip select pin</t>
  </si>
  <si>
    <t>pt6315_write_byte( 0xC0 | 0 * 3 ); // position</t>
  </si>
  <si>
    <t>pt6315_write_byte( 0xC0 | 1 * 3 ); // position</t>
  </si>
  <si>
    <t>pt6315_write_byte( 0xC0 | 2 * 3 ); // position</t>
  </si>
  <si>
    <t>pt6315_write_byte( 0xC0 | 3 * 3 ); // position</t>
  </si>
  <si>
    <t>pt6315_write_byte( 0xC0 | 4 * 3 ); // position</t>
  </si>
  <si>
    <t>pt6315_write_byte( 0xC0 | 5 * 3 ); // position</t>
  </si>
  <si>
    <t>pt6315_write_byte( 0xC0 | 6 * 3 ); // position</t>
  </si>
  <si>
    <t>// icon on the left side + red icons on the right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</si>
</sst>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2" tint="-0.249977111117893"/>
      <name val="Aptos Narrow"/>
      <family val="2"/>
      <scheme val="minor"/>
    </font>
    <font>
      <sz val="9"/>
      <color theme="1"/>
      <name val="Lucida Console"/>
      <family val="3"/>
    </font>
    <font>
      <sz val="11"/>
      <color theme="2" tint="-0.249977111117893"/>
      <name val="Lucida Console"/>
      <family val="3"/>
    </font>
    <font>
      <sz val="8"/>
      <color theme="2" tint="-0.249977111117893"/>
      <name val="Lucida Console"/>
      <family val="3"/>
    </font>
    <font>
      <b/>
      <sz val="9"/>
      <color theme="2" tint="-0.249977111117893"/>
      <name val="Lucida Console"/>
      <family val="3"/>
    </font>
    <font>
      <sz val="9"/>
      <color theme="2" tint="-0.249977111117893"/>
      <name val="Lucida Console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88F9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1" fillId="0" borderId="0" xfId="0" applyFont="1"/>
    <xf numFmtId="0" fontId="2" fillId="4" borderId="0" xfId="0" applyFont="1" applyFill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4" borderId="0" xfId="0" applyFill="1"/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8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10" name="Rectangle 9" hidden="1">
          <a:extLst>
            <a:ext uri="{FF2B5EF4-FFF2-40B4-BE49-F238E27FC236}">
              <a16:creationId xmlns:a16="http://schemas.microsoft.com/office/drawing/2014/main" id="{C529E172-3E77-BF47-800A-42D890E7D771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4360" name="pos4_seg20">
          <a:extLst>
            <a:ext uri="{FF2B5EF4-FFF2-40B4-BE49-F238E27FC236}">
              <a16:creationId xmlns:a16="http://schemas.microsoft.com/office/drawing/2014/main" id="{1D9384E8-1E8D-BE32-2865-D626DD39B3D4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9" name="Freeform 206">
          <a:extLst>
            <a:ext uri="{FF2B5EF4-FFF2-40B4-BE49-F238E27FC236}">
              <a16:creationId xmlns:a16="http://schemas.microsoft.com/office/drawing/2014/main" id="{9D581D56-1376-A850-ED8D-3266798B7024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4446" name="Picture 4445">
          <a:extLst>
            <a:ext uri="{FF2B5EF4-FFF2-40B4-BE49-F238E27FC236}">
              <a16:creationId xmlns:a16="http://schemas.microsoft.com/office/drawing/2014/main" id="{86A954B1-754F-28D2-9322-4F83C0112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4447" name="Picture 4446">
          <a:extLst>
            <a:ext uri="{FF2B5EF4-FFF2-40B4-BE49-F238E27FC236}">
              <a16:creationId xmlns:a16="http://schemas.microsoft.com/office/drawing/2014/main" id="{C683A83D-687C-F7BE-1EEE-A247F8CA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3" name="character 0">
          <a:extLst>
            <a:ext uri="{FF2B5EF4-FFF2-40B4-BE49-F238E27FC236}">
              <a16:creationId xmlns:a16="http://schemas.microsoft.com/office/drawing/2014/main" id="{7426073D-DF2F-BF07-24F1-ADCA8944C5E0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11" name="pos0_seg0">
            <a:extLst>
              <a:ext uri="{FF2B5EF4-FFF2-40B4-BE49-F238E27FC236}">
                <a16:creationId xmlns:a16="http://schemas.microsoft.com/office/drawing/2014/main" id="{C12E000B-0611-8129-B110-F8185978D69B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3">
            <a:extLst>
              <a:ext uri="{FF2B5EF4-FFF2-40B4-BE49-F238E27FC236}">
                <a16:creationId xmlns:a16="http://schemas.microsoft.com/office/drawing/2014/main" id="{8AB0B5B1-051A-D92B-3633-10B9D4902C97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6">
            <a:extLst>
              <a:ext uri="{FF2B5EF4-FFF2-40B4-BE49-F238E27FC236}">
                <a16:creationId xmlns:a16="http://schemas.microsoft.com/office/drawing/2014/main" id="{F0FACC85-3AC0-F58B-C7CD-E637598A7563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12">
            <a:extLst>
              <a:ext uri="{FF2B5EF4-FFF2-40B4-BE49-F238E27FC236}">
                <a16:creationId xmlns:a16="http://schemas.microsoft.com/office/drawing/2014/main" id="{048CA570-13A6-9CE5-661B-2FFF3BD56B76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3">
            <a:extLst>
              <a:ext uri="{FF2B5EF4-FFF2-40B4-BE49-F238E27FC236}">
                <a16:creationId xmlns:a16="http://schemas.microsoft.com/office/drawing/2014/main" id="{70FF2812-E00F-6B05-528C-771FBEC4A293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5">
            <a:extLst>
              <a:ext uri="{FF2B5EF4-FFF2-40B4-BE49-F238E27FC236}">
                <a16:creationId xmlns:a16="http://schemas.microsoft.com/office/drawing/2014/main" id="{19E41E7B-F724-67BD-F052-35F35C532EEC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4">
            <a:extLst>
              <a:ext uri="{FF2B5EF4-FFF2-40B4-BE49-F238E27FC236}">
                <a16:creationId xmlns:a16="http://schemas.microsoft.com/office/drawing/2014/main" id="{E25A59DB-57E6-42EA-6A2D-D2F55B1981DD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4">
            <a:extLst>
              <a:ext uri="{FF2B5EF4-FFF2-40B4-BE49-F238E27FC236}">
                <a16:creationId xmlns:a16="http://schemas.microsoft.com/office/drawing/2014/main" id="{C44056F1-609E-B372-B094-61F46D041770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7">
            <a:extLst>
              <a:ext uri="{FF2B5EF4-FFF2-40B4-BE49-F238E27FC236}">
                <a16:creationId xmlns:a16="http://schemas.microsoft.com/office/drawing/2014/main" id="{CAEBA48E-22FB-9CB7-93E3-108FC2FADCDA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1">
            <a:extLst>
              <a:ext uri="{FF2B5EF4-FFF2-40B4-BE49-F238E27FC236}">
                <a16:creationId xmlns:a16="http://schemas.microsoft.com/office/drawing/2014/main" id="{C2410130-1C0D-339C-1415-188E68690691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5">
            <a:extLst>
              <a:ext uri="{FF2B5EF4-FFF2-40B4-BE49-F238E27FC236}">
                <a16:creationId xmlns:a16="http://schemas.microsoft.com/office/drawing/2014/main" id="{EDAF43A3-B39C-342A-9AC7-6F402EB49C20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2">
            <a:extLst>
              <a:ext uri="{FF2B5EF4-FFF2-40B4-BE49-F238E27FC236}">
                <a16:creationId xmlns:a16="http://schemas.microsoft.com/office/drawing/2014/main" id="{F11FAF95-140B-CC9B-7AF4-C94C7E8A4AD6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">
            <a:extLst>
              <a:ext uri="{FF2B5EF4-FFF2-40B4-BE49-F238E27FC236}">
                <a16:creationId xmlns:a16="http://schemas.microsoft.com/office/drawing/2014/main" id="{EEDA5FF1-F0ED-9F84-9B58-231D04FA081B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16">
            <a:extLst>
              <a:ext uri="{FF2B5EF4-FFF2-40B4-BE49-F238E27FC236}">
                <a16:creationId xmlns:a16="http://schemas.microsoft.com/office/drawing/2014/main" id="{DFE07844-4F98-2ECB-4CF2-DCCCA5FA6B91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9">
            <a:extLst>
              <a:ext uri="{FF2B5EF4-FFF2-40B4-BE49-F238E27FC236}">
                <a16:creationId xmlns:a16="http://schemas.microsoft.com/office/drawing/2014/main" id="{AC1200F9-5ED6-ABEB-FD0D-D31F96DA511A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9">
            <a:extLst>
              <a:ext uri="{FF2B5EF4-FFF2-40B4-BE49-F238E27FC236}">
                <a16:creationId xmlns:a16="http://schemas.microsoft.com/office/drawing/2014/main" id="{4F7C177E-C20E-CF9A-8981-9B61D06E2688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8" name="pos0_seg8">
            <a:extLst>
              <a:ext uri="{FF2B5EF4-FFF2-40B4-BE49-F238E27FC236}">
                <a16:creationId xmlns:a16="http://schemas.microsoft.com/office/drawing/2014/main" id="{883FA535-8CC2-087F-B251-640AAC43079D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9" name="pos0_seg10">
            <a:extLst>
              <a:ext uri="{FF2B5EF4-FFF2-40B4-BE49-F238E27FC236}">
                <a16:creationId xmlns:a16="http://schemas.microsoft.com/office/drawing/2014/main" id="{3A79EA99-F16D-25BC-F425-2AC97FAEF9F2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0_seg18">
            <a:extLst>
              <a:ext uri="{FF2B5EF4-FFF2-40B4-BE49-F238E27FC236}">
                <a16:creationId xmlns:a16="http://schemas.microsoft.com/office/drawing/2014/main" id="{5F63BD0B-6312-ECCE-2737-1AC3624728DC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" name="pos0_seg17">
            <a:extLst>
              <a:ext uri="{FF2B5EF4-FFF2-40B4-BE49-F238E27FC236}">
                <a16:creationId xmlns:a16="http://schemas.microsoft.com/office/drawing/2014/main" id="{5EEFB6B7-58B3-BBAB-DF2A-6F7EA1E56296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4102" name="character 1">
          <a:extLst>
            <a:ext uri="{FF2B5EF4-FFF2-40B4-BE49-F238E27FC236}">
              <a16:creationId xmlns:a16="http://schemas.microsoft.com/office/drawing/2014/main" id="{72F7A880-B804-4EA5-B59D-C53323631C1C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4103" name="pos1_seg0">
            <a:extLst>
              <a:ext uri="{FF2B5EF4-FFF2-40B4-BE49-F238E27FC236}">
                <a16:creationId xmlns:a16="http://schemas.microsoft.com/office/drawing/2014/main" id="{F022F94E-F224-C151-1A70-09169B4BBF13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4" name="pos1_seg3">
            <a:extLst>
              <a:ext uri="{FF2B5EF4-FFF2-40B4-BE49-F238E27FC236}">
                <a16:creationId xmlns:a16="http://schemas.microsoft.com/office/drawing/2014/main" id="{2F9B85CF-ABF7-E1BC-025C-04E5DD608FAB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5" name="pos1_seg6">
            <a:extLst>
              <a:ext uri="{FF2B5EF4-FFF2-40B4-BE49-F238E27FC236}">
                <a16:creationId xmlns:a16="http://schemas.microsoft.com/office/drawing/2014/main" id="{919FC9CD-ACE9-A8E1-ADF8-8B00D0F9D6CB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6" name="pos1_seg12">
            <a:extLst>
              <a:ext uri="{FF2B5EF4-FFF2-40B4-BE49-F238E27FC236}">
                <a16:creationId xmlns:a16="http://schemas.microsoft.com/office/drawing/2014/main" id="{C01D3EF6-CE00-3928-EC0A-2AC2A94C3955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7" name="pos1_seg13">
            <a:extLst>
              <a:ext uri="{FF2B5EF4-FFF2-40B4-BE49-F238E27FC236}">
                <a16:creationId xmlns:a16="http://schemas.microsoft.com/office/drawing/2014/main" id="{AAA9B90C-F702-C8BF-FD2C-BA7AB7B2EE5F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8" name="pos1_seg5">
            <a:extLst>
              <a:ext uri="{FF2B5EF4-FFF2-40B4-BE49-F238E27FC236}">
                <a16:creationId xmlns:a16="http://schemas.microsoft.com/office/drawing/2014/main" id="{F419D433-701F-2AED-4AB9-6FB4E7626A36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09" name="pos1_seg4">
            <a:extLst>
              <a:ext uri="{FF2B5EF4-FFF2-40B4-BE49-F238E27FC236}">
                <a16:creationId xmlns:a16="http://schemas.microsoft.com/office/drawing/2014/main" id="{7778A644-97F5-86E6-7B15-E87FD67F3D57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0" name="pos1_seg14">
            <a:extLst>
              <a:ext uri="{FF2B5EF4-FFF2-40B4-BE49-F238E27FC236}">
                <a16:creationId xmlns:a16="http://schemas.microsoft.com/office/drawing/2014/main" id="{66D8C103-285D-53C3-DB20-A7D57DC074AE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1" name="pos1_seg7">
            <a:extLst>
              <a:ext uri="{FF2B5EF4-FFF2-40B4-BE49-F238E27FC236}">
                <a16:creationId xmlns:a16="http://schemas.microsoft.com/office/drawing/2014/main" id="{CE482D22-6D3F-ABC1-7441-9FA184777BE3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2" name="pos1_seg11">
            <a:extLst>
              <a:ext uri="{FF2B5EF4-FFF2-40B4-BE49-F238E27FC236}">
                <a16:creationId xmlns:a16="http://schemas.microsoft.com/office/drawing/2014/main" id="{C10F6131-07F6-0537-02D3-FD9DFA935F57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3" name="pos1_seg15">
            <a:extLst>
              <a:ext uri="{FF2B5EF4-FFF2-40B4-BE49-F238E27FC236}">
                <a16:creationId xmlns:a16="http://schemas.microsoft.com/office/drawing/2014/main" id="{48DD4F3E-8D33-9FD2-7B42-0FE22ABEE76E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4" name="pos1_seg2">
            <a:extLst>
              <a:ext uri="{FF2B5EF4-FFF2-40B4-BE49-F238E27FC236}">
                <a16:creationId xmlns:a16="http://schemas.microsoft.com/office/drawing/2014/main" id="{0723E4BE-4DC8-D607-939E-F774B6C841E3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5" name="pos1_seg1">
            <a:extLst>
              <a:ext uri="{FF2B5EF4-FFF2-40B4-BE49-F238E27FC236}">
                <a16:creationId xmlns:a16="http://schemas.microsoft.com/office/drawing/2014/main" id="{4D3A1464-00C2-1CC6-BD32-E4773943D3A1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6" name="pos1_seg16">
            <a:extLst>
              <a:ext uri="{FF2B5EF4-FFF2-40B4-BE49-F238E27FC236}">
                <a16:creationId xmlns:a16="http://schemas.microsoft.com/office/drawing/2014/main" id="{507CD8EE-CD25-C026-252E-A6CB6AFF5E2A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7" name="pos1_seg9">
            <a:extLst>
              <a:ext uri="{FF2B5EF4-FFF2-40B4-BE49-F238E27FC236}">
                <a16:creationId xmlns:a16="http://schemas.microsoft.com/office/drawing/2014/main" id="{1F137471-5B91-D9D3-F961-AE5B3AC50BFE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8" name="pos1_seg19">
            <a:extLst>
              <a:ext uri="{FF2B5EF4-FFF2-40B4-BE49-F238E27FC236}">
                <a16:creationId xmlns:a16="http://schemas.microsoft.com/office/drawing/2014/main" id="{E83E30A3-722E-4ADB-9A27-A134022DAC15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19" name="pos1_seg8">
            <a:extLst>
              <a:ext uri="{FF2B5EF4-FFF2-40B4-BE49-F238E27FC236}">
                <a16:creationId xmlns:a16="http://schemas.microsoft.com/office/drawing/2014/main" id="{1AABB4BE-5106-519D-F456-3BED1A3664A7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0" name="pos1_seg10">
            <a:extLst>
              <a:ext uri="{FF2B5EF4-FFF2-40B4-BE49-F238E27FC236}">
                <a16:creationId xmlns:a16="http://schemas.microsoft.com/office/drawing/2014/main" id="{4DA48221-AEFD-170E-9D66-119DA998C24E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1" name="pos1_seg18">
            <a:extLst>
              <a:ext uri="{FF2B5EF4-FFF2-40B4-BE49-F238E27FC236}">
                <a16:creationId xmlns:a16="http://schemas.microsoft.com/office/drawing/2014/main" id="{C8960D28-E1FF-6EDB-ED59-532E62BAF1F9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2" name="pos1_seg17">
            <a:extLst>
              <a:ext uri="{FF2B5EF4-FFF2-40B4-BE49-F238E27FC236}">
                <a16:creationId xmlns:a16="http://schemas.microsoft.com/office/drawing/2014/main" id="{E84DFE9B-9EC3-23C1-3EA5-EF60FE43C38F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123" name="character 2">
          <a:extLst>
            <a:ext uri="{FF2B5EF4-FFF2-40B4-BE49-F238E27FC236}">
              <a16:creationId xmlns:a16="http://schemas.microsoft.com/office/drawing/2014/main" id="{13A7EEF1-D205-4472-8647-C875910BD955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4124" name="pos2_seg0">
            <a:extLst>
              <a:ext uri="{FF2B5EF4-FFF2-40B4-BE49-F238E27FC236}">
                <a16:creationId xmlns:a16="http://schemas.microsoft.com/office/drawing/2014/main" id="{392A95D8-9446-4F6C-D027-628F8F6F41AA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5" name="pos2_seg3">
            <a:extLst>
              <a:ext uri="{FF2B5EF4-FFF2-40B4-BE49-F238E27FC236}">
                <a16:creationId xmlns:a16="http://schemas.microsoft.com/office/drawing/2014/main" id="{3E7F77DA-5341-2625-0C4F-C43C3B318FFF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6" name="pos2_seg6">
            <a:extLst>
              <a:ext uri="{FF2B5EF4-FFF2-40B4-BE49-F238E27FC236}">
                <a16:creationId xmlns:a16="http://schemas.microsoft.com/office/drawing/2014/main" id="{5572CEA9-2390-F7A2-2F18-43346AB6DB6D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7" name="pos2_seg12">
            <a:extLst>
              <a:ext uri="{FF2B5EF4-FFF2-40B4-BE49-F238E27FC236}">
                <a16:creationId xmlns:a16="http://schemas.microsoft.com/office/drawing/2014/main" id="{D70224C8-F371-CBA6-CF3C-C976BD45D1F4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8" name="pos2_seg13">
            <a:extLst>
              <a:ext uri="{FF2B5EF4-FFF2-40B4-BE49-F238E27FC236}">
                <a16:creationId xmlns:a16="http://schemas.microsoft.com/office/drawing/2014/main" id="{584435A2-A477-B95C-0D75-5243969C1FAC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29" name="pos2_seg5">
            <a:extLst>
              <a:ext uri="{FF2B5EF4-FFF2-40B4-BE49-F238E27FC236}">
                <a16:creationId xmlns:a16="http://schemas.microsoft.com/office/drawing/2014/main" id="{8A72946D-E53D-4F24-4EEF-D5392D8DC1D1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0" name="pos2_seg4">
            <a:extLst>
              <a:ext uri="{FF2B5EF4-FFF2-40B4-BE49-F238E27FC236}">
                <a16:creationId xmlns:a16="http://schemas.microsoft.com/office/drawing/2014/main" id="{86DD786E-02A3-6DC3-C0BF-AB2A8360D13E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1" name="pos2_seg14">
            <a:extLst>
              <a:ext uri="{FF2B5EF4-FFF2-40B4-BE49-F238E27FC236}">
                <a16:creationId xmlns:a16="http://schemas.microsoft.com/office/drawing/2014/main" id="{B7E29D42-5F91-44A7-DB8F-2C92F7E8CB9B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2" name="pos2_seg7">
            <a:extLst>
              <a:ext uri="{FF2B5EF4-FFF2-40B4-BE49-F238E27FC236}">
                <a16:creationId xmlns:a16="http://schemas.microsoft.com/office/drawing/2014/main" id="{4E27B9C1-7517-6ABD-57C7-6E6833C440D7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3" name="pos2_seg11">
            <a:extLst>
              <a:ext uri="{FF2B5EF4-FFF2-40B4-BE49-F238E27FC236}">
                <a16:creationId xmlns:a16="http://schemas.microsoft.com/office/drawing/2014/main" id="{13F9328C-BCF5-8E17-ACF7-D0CAE4FB0866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4" name="pos2_seg15">
            <a:extLst>
              <a:ext uri="{FF2B5EF4-FFF2-40B4-BE49-F238E27FC236}">
                <a16:creationId xmlns:a16="http://schemas.microsoft.com/office/drawing/2014/main" id="{EF635B7E-7134-F11E-C6E3-1BED3653692D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5" name="pos2_seg2">
            <a:extLst>
              <a:ext uri="{FF2B5EF4-FFF2-40B4-BE49-F238E27FC236}">
                <a16:creationId xmlns:a16="http://schemas.microsoft.com/office/drawing/2014/main" id="{D5291F9A-347A-E827-A92F-C6E76320776D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6" name="pos2_seg1">
            <a:extLst>
              <a:ext uri="{FF2B5EF4-FFF2-40B4-BE49-F238E27FC236}">
                <a16:creationId xmlns:a16="http://schemas.microsoft.com/office/drawing/2014/main" id="{7D304B33-359F-31F8-9AE9-F29450217E83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7" name="pos2_seg16">
            <a:extLst>
              <a:ext uri="{FF2B5EF4-FFF2-40B4-BE49-F238E27FC236}">
                <a16:creationId xmlns:a16="http://schemas.microsoft.com/office/drawing/2014/main" id="{5FB1C678-436D-0C92-8D23-C8F40B17E913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8" name="pos2_seg9">
            <a:extLst>
              <a:ext uri="{FF2B5EF4-FFF2-40B4-BE49-F238E27FC236}">
                <a16:creationId xmlns:a16="http://schemas.microsoft.com/office/drawing/2014/main" id="{808F6CB1-21DB-29B1-56C9-B4A7B4B783E3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39" name="pos2_seg19">
            <a:extLst>
              <a:ext uri="{FF2B5EF4-FFF2-40B4-BE49-F238E27FC236}">
                <a16:creationId xmlns:a16="http://schemas.microsoft.com/office/drawing/2014/main" id="{7490C9BD-A1A7-445E-975F-3FED84500908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0" name="pos2_seg8">
            <a:extLst>
              <a:ext uri="{FF2B5EF4-FFF2-40B4-BE49-F238E27FC236}">
                <a16:creationId xmlns:a16="http://schemas.microsoft.com/office/drawing/2014/main" id="{17075D32-BB14-6AF9-9589-670B45E04E82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1" name="pos2_seg10">
            <a:extLst>
              <a:ext uri="{FF2B5EF4-FFF2-40B4-BE49-F238E27FC236}">
                <a16:creationId xmlns:a16="http://schemas.microsoft.com/office/drawing/2014/main" id="{774631D7-5A03-B6FD-1D89-DCE70AF0C0FF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2" name="pos2_seg18">
            <a:extLst>
              <a:ext uri="{FF2B5EF4-FFF2-40B4-BE49-F238E27FC236}">
                <a16:creationId xmlns:a16="http://schemas.microsoft.com/office/drawing/2014/main" id="{FEC289BD-D112-95BA-B370-896CEC306F9D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3" name="pos2_seg17">
            <a:extLst>
              <a:ext uri="{FF2B5EF4-FFF2-40B4-BE49-F238E27FC236}">
                <a16:creationId xmlns:a16="http://schemas.microsoft.com/office/drawing/2014/main" id="{0CCB4747-8AF6-6869-7E53-BEE82D5CBF36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19</xdr:col>
      <xdr:colOff>470012</xdr:colOff>
      <xdr:row>14</xdr:row>
      <xdr:rowOff>102812</xdr:rowOff>
    </xdr:to>
    <xdr:grpSp>
      <xdr:nvGrpSpPr>
        <xdr:cNvPr id="4144" name="character 3">
          <a:extLst>
            <a:ext uri="{FF2B5EF4-FFF2-40B4-BE49-F238E27FC236}">
              <a16:creationId xmlns:a16="http://schemas.microsoft.com/office/drawing/2014/main" id="{356A16A2-D69A-4926-B244-9C5DBC4FD52C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4145" name="pos3_seg0">
            <a:extLst>
              <a:ext uri="{FF2B5EF4-FFF2-40B4-BE49-F238E27FC236}">
                <a16:creationId xmlns:a16="http://schemas.microsoft.com/office/drawing/2014/main" id="{26D61189-E3E3-A9E3-9B5D-00D249E0C819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6" name="pos3_seg3">
            <a:extLst>
              <a:ext uri="{FF2B5EF4-FFF2-40B4-BE49-F238E27FC236}">
                <a16:creationId xmlns:a16="http://schemas.microsoft.com/office/drawing/2014/main" id="{ECD2AB13-03FF-2EC1-1EEF-020FCF50F4EF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7" name="pos3_seg6">
            <a:extLst>
              <a:ext uri="{FF2B5EF4-FFF2-40B4-BE49-F238E27FC236}">
                <a16:creationId xmlns:a16="http://schemas.microsoft.com/office/drawing/2014/main" id="{CE995C85-9576-F765-466B-37905893EE96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8" name="pos3_seg12">
            <a:extLst>
              <a:ext uri="{FF2B5EF4-FFF2-40B4-BE49-F238E27FC236}">
                <a16:creationId xmlns:a16="http://schemas.microsoft.com/office/drawing/2014/main" id="{DA3D7DE1-2A80-E5D8-6EC8-FE1C8D1CEC2D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49" name="pos3_seg13">
            <a:extLst>
              <a:ext uri="{FF2B5EF4-FFF2-40B4-BE49-F238E27FC236}">
                <a16:creationId xmlns:a16="http://schemas.microsoft.com/office/drawing/2014/main" id="{E2EBBBA6-2C96-64AC-C754-7271D63CDE25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0" name="pos3_seg5">
            <a:extLst>
              <a:ext uri="{FF2B5EF4-FFF2-40B4-BE49-F238E27FC236}">
                <a16:creationId xmlns:a16="http://schemas.microsoft.com/office/drawing/2014/main" id="{7E2F576D-16DE-4015-129E-2711EFC707F4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1" name="pos3_seg4">
            <a:extLst>
              <a:ext uri="{FF2B5EF4-FFF2-40B4-BE49-F238E27FC236}">
                <a16:creationId xmlns:a16="http://schemas.microsoft.com/office/drawing/2014/main" id="{BD4ADB0B-F7D6-C3A7-4B59-8E56522BAFE9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2" name="pos3_seg14">
            <a:extLst>
              <a:ext uri="{FF2B5EF4-FFF2-40B4-BE49-F238E27FC236}">
                <a16:creationId xmlns:a16="http://schemas.microsoft.com/office/drawing/2014/main" id="{34FF97D8-681A-1BFC-9B4C-D02ACFB56F0A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3" name="pos3_seg7">
            <a:extLst>
              <a:ext uri="{FF2B5EF4-FFF2-40B4-BE49-F238E27FC236}">
                <a16:creationId xmlns:a16="http://schemas.microsoft.com/office/drawing/2014/main" id="{5109C249-A9F8-297A-4274-641D4C9942BE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4" name="pos3_seg11">
            <a:extLst>
              <a:ext uri="{FF2B5EF4-FFF2-40B4-BE49-F238E27FC236}">
                <a16:creationId xmlns:a16="http://schemas.microsoft.com/office/drawing/2014/main" id="{EECAE3F5-D802-8C60-92B9-E76387954868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5" name="pos3_seg15">
            <a:extLst>
              <a:ext uri="{FF2B5EF4-FFF2-40B4-BE49-F238E27FC236}">
                <a16:creationId xmlns:a16="http://schemas.microsoft.com/office/drawing/2014/main" id="{900AC6CA-75F1-5390-A8B9-CF96E8E1606C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6" name="pos3_seg2">
            <a:extLst>
              <a:ext uri="{FF2B5EF4-FFF2-40B4-BE49-F238E27FC236}">
                <a16:creationId xmlns:a16="http://schemas.microsoft.com/office/drawing/2014/main" id="{8F885691-168F-85E9-F563-E2019FC72F63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7" name="pos3_seg1">
            <a:extLst>
              <a:ext uri="{FF2B5EF4-FFF2-40B4-BE49-F238E27FC236}">
                <a16:creationId xmlns:a16="http://schemas.microsoft.com/office/drawing/2014/main" id="{FFA9964F-2210-F684-0E08-545C46391137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8" name="pos3_seg16">
            <a:extLst>
              <a:ext uri="{FF2B5EF4-FFF2-40B4-BE49-F238E27FC236}">
                <a16:creationId xmlns:a16="http://schemas.microsoft.com/office/drawing/2014/main" id="{3AD80E8F-E209-DD96-1926-32AAE7DD7566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59" name="pos3_seg9">
            <a:extLst>
              <a:ext uri="{FF2B5EF4-FFF2-40B4-BE49-F238E27FC236}">
                <a16:creationId xmlns:a16="http://schemas.microsoft.com/office/drawing/2014/main" id="{1AB78094-C38D-10F6-AC82-74D40F71CFA2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88" name="pos3_seg19">
            <a:extLst>
              <a:ext uri="{FF2B5EF4-FFF2-40B4-BE49-F238E27FC236}">
                <a16:creationId xmlns:a16="http://schemas.microsoft.com/office/drawing/2014/main" id="{FEE1B16B-65A0-CDA7-2F25-16DE12760F62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89" name="pos3_seg8">
            <a:extLst>
              <a:ext uri="{FF2B5EF4-FFF2-40B4-BE49-F238E27FC236}">
                <a16:creationId xmlns:a16="http://schemas.microsoft.com/office/drawing/2014/main" id="{8E5CEA61-122C-3BDB-5DF1-3896AC4DBA7F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0" name="pos3_seg10">
            <a:extLst>
              <a:ext uri="{FF2B5EF4-FFF2-40B4-BE49-F238E27FC236}">
                <a16:creationId xmlns:a16="http://schemas.microsoft.com/office/drawing/2014/main" id="{3A1FC3E0-FD35-6A7E-5B6E-F8142A3D02C0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1" name="pos3_seg18">
            <a:extLst>
              <a:ext uri="{FF2B5EF4-FFF2-40B4-BE49-F238E27FC236}">
                <a16:creationId xmlns:a16="http://schemas.microsoft.com/office/drawing/2014/main" id="{D2A78184-99EB-9A8B-7F6B-483B3F8B76D5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2" name="pos3_seg17">
            <a:extLst>
              <a:ext uri="{FF2B5EF4-FFF2-40B4-BE49-F238E27FC236}">
                <a16:creationId xmlns:a16="http://schemas.microsoft.com/office/drawing/2014/main" id="{20C09DA1-CA4D-3210-7744-458997744051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20</xdr:col>
      <xdr:colOff>468258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4293" name="character 4">
          <a:extLst>
            <a:ext uri="{FF2B5EF4-FFF2-40B4-BE49-F238E27FC236}">
              <a16:creationId xmlns:a16="http://schemas.microsoft.com/office/drawing/2014/main" id="{1D0B627F-41AE-41A2-A59B-2F1DCA0E33D5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4294" name="pos4_seg0">
            <a:extLst>
              <a:ext uri="{FF2B5EF4-FFF2-40B4-BE49-F238E27FC236}">
                <a16:creationId xmlns:a16="http://schemas.microsoft.com/office/drawing/2014/main" id="{DE41289E-A1CD-64CD-8E5D-CA3838E31A78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5" name="pos4_seg3">
            <a:extLst>
              <a:ext uri="{FF2B5EF4-FFF2-40B4-BE49-F238E27FC236}">
                <a16:creationId xmlns:a16="http://schemas.microsoft.com/office/drawing/2014/main" id="{401E167A-E57C-AEC1-FC62-1103CB47BD98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6" name="pos4_seg6">
            <a:extLst>
              <a:ext uri="{FF2B5EF4-FFF2-40B4-BE49-F238E27FC236}">
                <a16:creationId xmlns:a16="http://schemas.microsoft.com/office/drawing/2014/main" id="{227C648D-F35C-40A9-357D-7020E2EA7166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7" name="pos4_seg12">
            <a:extLst>
              <a:ext uri="{FF2B5EF4-FFF2-40B4-BE49-F238E27FC236}">
                <a16:creationId xmlns:a16="http://schemas.microsoft.com/office/drawing/2014/main" id="{E440F0F5-E269-A0DF-F985-CB3CA23E8FDC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8" name="pos4_seg13">
            <a:extLst>
              <a:ext uri="{FF2B5EF4-FFF2-40B4-BE49-F238E27FC236}">
                <a16:creationId xmlns:a16="http://schemas.microsoft.com/office/drawing/2014/main" id="{56C426CB-4671-9E87-E15D-1223464AA0D2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99" name="pos4_seg5">
            <a:extLst>
              <a:ext uri="{FF2B5EF4-FFF2-40B4-BE49-F238E27FC236}">
                <a16:creationId xmlns:a16="http://schemas.microsoft.com/office/drawing/2014/main" id="{3BA27B82-7192-9F2B-F947-62544046441F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00" name="pos4_seg4">
            <a:extLst>
              <a:ext uri="{FF2B5EF4-FFF2-40B4-BE49-F238E27FC236}">
                <a16:creationId xmlns:a16="http://schemas.microsoft.com/office/drawing/2014/main" id="{032376A0-B3A3-E313-FCF8-F282C6F763AB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01" name="pos4_seg14">
            <a:extLst>
              <a:ext uri="{FF2B5EF4-FFF2-40B4-BE49-F238E27FC236}">
                <a16:creationId xmlns:a16="http://schemas.microsoft.com/office/drawing/2014/main" id="{106ED78C-97B9-2C02-9002-206C93A4C398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48" name="pos4_seg7">
            <a:extLst>
              <a:ext uri="{FF2B5EF4-FFF2-40B4-BE49-F238E27FC236}">
                <a16:creationId xmlns:a16="http://schemas.microsoft.com/office/drawing/2014/main" id="{533538DC-69EE-49F3-C743-457E45A5AE2E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49" name="pos4_seg11">
            <a:extLst>
              <a:ext uri="{FF2B5EF4-FFF2-40B4-BE49-F238E27FC236}">
                <a16:creationId xmlns:a16="http://schemas.microsoft.com/office/drawing/2014/main" id="{FE3FB238-C2BC-B552-6530-81FF2FE5A00F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0" name="pos4_seg15">
            <a:extLst>
              <a:ext uri="{FF2B5EF4-FFF2-40B4-BE49-F238E27FC236}">
                <a16:creationId xmlns:a16="http://schemas.microsoft.com/office/drawing/2014/main" id="{A9503EE2-E953-6FDE-C5BC-1B58A56CC287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1" name="pos4_seg2">
            <a:extLst>
              <a:ext uri="{FF2B5EF4-FFF2-40B4-BE49-F238E27FC236}">
                <a16:creationId xmlns:a16="http://schemas.microsoft.com/office/drawing/2014/main" id="{235D4A53-FABB-0D12-C154-2F9F1B68FCE8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2" name="pos4_seg1">
            <a:extLst>
              <a:ext uri="{FF2B5EF4-FFF2-40B4-BE49-F238E27FC236}">
                <a16:creationId xmlns:a16="http://schemas.microsoft.com/office/drawing/2014/main" id="{0534AB7A-6BD4-7F34-524B-6E459290FA4E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3" name="pos4_seg16">
            <a:extLst>
              <a:ext uri="{FF2B5EF4-FFF2-40B4-BE49-F238E27FC236}">
                <a16:creationId xmlns:a16="http://schemas.microsoft.com/office/drawing/2014/main" id="{F95E2858-A852-C5C5-5FE1-5AC2910FF7C0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4" name="pos4_seg9">
            <a:extLst>
              <a:ext uri="{FF2B5EF4-FFF2-40B4-BE49-F238E27FC236}">
                <a16:creationId xmlns:a16="http://schemas.microsoft.com/office/drawing/2014/main" id="{D7A682FA-C6CA-6543-8464-BCA118F9D7DC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5" name="pos4_seg19">
            <a:extLst>
              <a:ext uri="{FF2B5EF4-FFF2-40B4-BE49-F238E27FC236}">
                <a16:creationId xmlns:a16="http://schemas.microsoft.com/office/drawing/2014/main" id="{FFB364B0-D41A-126D-D074-19613A9261C3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6" name="pos4_seg8">
            <a:extLst>
              <a:ext uri="{FF2B5EF4-FFF2-40B4-BE49-F238E27FC236}">
                <a16:creationId xmlns:a16="http://schemas.microsoft.com/office/drawing/2014/main" id="{CAA0BB80-F359-CC13-6A64-6D87E61A343C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7" name="pos4_seg10">
            <a:extLst>
              <a:ext uri="{FF2B5EF4-FFF2-40B4-BE49-F238E27FC236}">
                <a16:creationId xmlns:a16="http://schemas.microsoft.com/office/drawing/2014/main" id="{8E5C2C4F-9DE6-5467-AF83-AEF41E6A922A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8" name="pos4_seg18">
            <a:extLst>
              <a:ext uri="{FF2B5EF4-FFF2-40B4-BE49-F238E27FC236}">
                <a16:creationId xmlns:a16="http://schemas.microsoft.com/office/drawing/2014/main" id="{D483C5E2-328D-E84F-DF43-62BAD0D15AB0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59" name="pos4_seg17">
            <a:extLst>
              <a:ext uri="{FF2B5EF4-FFF2-40B4-BE49-F238E27FC236}">
                <a16:creationId xmlns:a16="http://schemas.microsoft.com/office/drawing/2014/main" id="{3A6AB726-23A1-AF68-C31C-54EE618C30BB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4460" name="character 5">
          <a:extLst>
            <a:ext uri="{FF2B5EF4-FFF2-40B4-BE49-F238E27FC236}">
              <a16:creationId xmlns:a16="http://schemas.microsoft.com/office/drawing/2014/main" id="{4068FA7B-C3FF-4ECA-9A97-E759DCDABCD7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4461" name="pos5_seg0">
            <a:extLst>
              <a:ext uri="{FF2B5EF4-FFF2-40B4-BE49-F238E27FC236}">
                <a16:creationId xmlns:a16="http://schemas.microsoft.com/office/drawing/2014/main" id="{0D291B16-ADEB-7E0E-0B69-D00D6C5E3CA3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2" name="pos5_seg3">
            <a:extLst>
              <a:ext uri="{FF2B5EF4-FFF2-40B4-BE49-F238E27FC236}">
                <a16:creationId xmlns:a16="http://schemas.microsoft.com/office/drawing/2014/main" id="{0E901427-EBD5-A57C-9313-578745277C78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3" name="pos5_seg6">
            <a:extLst>
              <a:ext uri="{FF2B5EF4-FFF2-40B4-BE49-F238E27FC236}">
                <a16:creationId xmlns:a16="http://schemas.microsoft.com/office/drawing/2014/main" id="{91B4E2F2-F9DE-1D74-54F3-A6164028F16D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4" name="pos5_seg12">
            <a:extLst>
              <a:ext uri="{FF2B5EF4-FFF2-40B4-BE49-F238E27FC236}">
                <a16:creationId xmlns:a16="http://schemas.microsoft.com/office/drawing/2014/main" id="{9DB44C51-2E7A-1A73-DC09-A1423E461A5A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5" name="pos5_seg13">
            <a:extLst>
              <a:ext uri="{FF2B5EF4-FFF2-40B4-BE49-F238E27FC236}">
                <a16:creationId xmlns:a16="http://schemas.microsoft.com/office/drawing/2014/main" id="{FC60C922-0D27-5FAF-6BCB-19B25C1239C6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6" name="pos5_seg5">
            <a:extLst>
              <a:ext uri="{FF2B5EF4-FFF2-40B4-BE49-F238E27FC236}">
                <a16:creationId xmlns:a16="http://schemas.microsoft.com/office/drawing/2014/main" id="{533D0325-BFA0-B83F-0A33-2D89C71794B7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7" name="pos5_seg4">
            <a:extLst>
              <a:ext uri="{FF2B5EF4-FFF2-40B4-BE49-F238E27FC236}">
                <a16:creationId xmlns:a16="http://schemas.microsoft.com/office/drawing/2014/main" id="{285A01E0-7BF4-34D2-140E-D98D5C77A7AB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8" name="pos5_seg14">
            <a:extLst>
              <a:ext uri="{FF2B5EF4-FFF2-40B4-BE49-F238E27FC236}">
                <a16:creationId xmlns:a16="http://schemas.microsoft.com/office/drawing/2014/main" id="{2CB64C55-91AE-E553-9639-4B5BC2A0861A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69" name="pos5_seg7">
            <a:extLst>
              <a:ext uri="{FF2B5EF4-FFF2-40B4-BE49-F238E27FC236}">
                <a16:creationId xmlns:a16="http://schemas.microsoft.com/office/drawing/2014/main" id="{654BD70D-94A2-F641-B746-7BB38116D483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0" name="pos5_seg11">
            <a:extLst>
              <a:ext uri="{FF2B5EF4-FFF2-40B4-BE49-F238E27FC236}">
                <a16:creationId xmlns:a16="http://schemas.microsoft.com/office/drawing/2014/main" id="{EB873807-333E-BE61-D15B-E9D81E513419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1" name="pos5_seg15">
            <a:extLst>
              <a:ext uri="{FF2B5EF4-FFF2-40B4-BE49-F238E27FC236}">
                <a16:creationId xmlns:a16="http://schemas.microsoft.com/office/drawing/2014/main" id="{0F5383B0-9E03-E07F-7328-2405BF491EC8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2" name="pos5_seg2">
            <a:extLst>
              <a:ext uri="{FF2B5EF4-FFF2-40B4-BE49-F238E27FC236}">
                <a16:creationId xmlns:a16="http://schemas.microsoft.com/office/drawing/2014/main" id="{28E0CF3D-7954-2EB9-564F-8F4829389DA1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3" name="pos5_seg1">
            <a:extLst>
              <a:ext uri="{FF2B5EF4-FFF2-40B4-BE49-F238E27FC236}">
                <a16:creationId xmlns:a16="http://schemas.microsoft.com/office/drawing/2014/main" id="{F748A104-5F2D-1D1B-9247-9605A4085FA5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4" name="pos5_seg16">
            <a:extLst>
              <a:ext uri="{FF2B5EF4-FFF2-40B4-BE49-F238E27FC236}">
                <a16:creationId xmlns:a16="http://schemas.microsoft.com/office/drawing/2014/main" id="{A83CE36C-D36D-40DD-1559-76BFB480FE6D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5" name="pos5_seg9">
            <a:extLst>
              <a:ext uri="{FF2B5EF4-FFF2-40B4-BE49-F238E27FC236}">
                <a16:creationId xmlns:a16="http://schemas.microsoft.com/office/drawing/2014/main" id="{65626D37-340A-58D5-A1F9-8787599B3163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6" name="pos5_seg19">
            <a:extLst>
              <a:ext uri="{FF2B5EF4-FFF2-40B4-BE49-F238E27FC236}">
                <a16:creationId xmlns:a16="http://schemas.microsoft.com/office/drawing/2014/main" id="{9B9F0F47-8376-B72B-8505-0D63DA5CCDAF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7" name="pos5_seg8">
            <a:extLst>
              <a:ext uri="{FF2B5EF4-FFF2-40B4-BE49-F238E27FC236}">
                <a16:creationId xmlns:a16="http://schemas.microsoft.com/office/drawing/2014/main" id="{D95A6377-6EFC-9C36-BB14-F4103A5F8B56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8" name="pos5_seg10">
            <a:extLst>
              <a:ext uri="{FF2B5EF4-FFF2-40B4-BE49-F238E27FC236}">
                <a16:creationId xmlns:a16="http://schemas.microsoft.com/office/drawing/2014/main" id="{68F84A38-8F7D-C263-02D1-A8BE5A3D2B52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79" name="pos5_seg18">
            <a:extLst>
              <a:ext uri="{FF2B5EF4-FFF2-40B4-BE49-F238E27FC236}">
                <a16:creationId xmlns:a16="http://schemas.microsoft.com/office/drawing/2014/main" id="{6FB49352-207F-E206-BB89-1724B4D0DFC3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80" name="pos5_seg17">
            <a:extLst>
              <a:ext uri="{FF2B5EF4-FFF2-40B4-BE49-F238E27FC236}">
                <a16:creationId xmlns:a16="http://schemas.microsoft.com/office/drawing/2014/main" id="{F329A782-4D31-5194-8D3D-1BB744CEC85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4481" name="pos1_seg20">
          <a:extLst>
            <a:ext uri="{FF2B5EF4-FFF2-40B4-BE49-F238E27FC236}">
              <a16:creationId xmlns:a16="http://schemas.microsoft.com/office/drawing/2014/main" id="{571B21A7-0855-BACF-FC22-42F8E3E94453}"/>
            </a:ext>
          </a:extLst>
        </xdr:cNvPr>
        <xdr:cNvSpPr>
          <a:spLocks noChangeArrowheads="1"/>
        </xdr:cNvSpPr>
      </xdr:nvSpPr>
      <xdr:spPr bwMode="auto">
        <a:xfrm>
          <a:off x="7119148" y="1572024"/>
          <a:ext cx="185208" cy="755594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4482" name="pos3_seg20">
          <a:extLst>
            <a:ext uri="{FF2B5EF4-FFF2-40B4-BE49-F238E27FC236}">
              <a16:creationId xmlns:a16="http://schemas.microsoft.com/office/drawing/2014/main" id="{DC8EDD90-8353-407D-A917-F80D68C67934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4" name="icon left">
          <a:extLst>
            <a:ext uri="{FF2B5EF4-FFF2-40B4-BE49-F238E27FC236}">
              <a16:creationId xmlns:a16="http://schemas.microsoft.com/office/drawing/2014/main" id="{0F17B448-771A-6C89-71EE-ECC0DC2B0CAA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5" name="pos6_seg3">
            <a:extLst>
              <a:ext uri="{FF2B5EF4-FFF2-40B4-BE49-F238E27FC236}">
                <a16:creationId xmlns:a16="http://schemas.microsoft.com/office/drawing/2014/main" id="{D6173E9E-58E2-0E01-7289-27425111EE6D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" name="pos6_seg2">
            <a:extLst>
              <a:ext uri="{FF2B5EF4-FFF2-40B4-BE49-F238E27FC236}">
                <a16:creationId xmlns:a16="http://schemas.microsoft.com/office/drawing/2014/main" id="{31EAD605-6DFC-D72F-64A6-65B26078DA56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" name="pos6_seg0">
            <a:extLst>
              <a:ext uri="{FF2B5EF4-FFF2-40B4-BE49-F238E27FC236}">
                <a16:creationId xmlns:a16="http://schemas.microsoft.com/office/drawing/2014/main" id="{B6A6C993-BDFE-C5FD-8E3C-0A2E5389D885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" name="pos6_seg1">
            <a:extLst>
              <a:ext uri="{FF2B5EF4-FFF2-40B4-BE49-F238E27FC236}">
                <a16:creationId xmlns:a16="http://schemas.microsoft.com/office/drawing/2014/main" id="{C7594FF8-487C-25F9-CD08-D057C423776E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6_seg7">
            <a:extLst>
              <a:ext uri="{FF2B5EF4-FFF2-40B4-BE49-F238E27FC236}">
                <a16:creationId xmlns:a16="http://schemas.microsoft.com/office/drawing/2014/main" id="{46797867-389D-625D-1433-DAF0786F8D15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6_seg4">
            <a:extLst>
              <a:ext uri="{FF2B5EF4-FFF2-40B4-BE49-F238E27FC236}">
                <a16:creationId xmlns:a16="http://schemas.microsoft.com/office/drawing/2014/main" id="{FDDA6691-5C03-4772-CB3F-43AF24011D3B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6_seg5">
            <a:extLst>
              <a:ext uri="{FF2B5EF4-FFF2-40B4-BE49-F238E27FC236}">
                <a16:creationId xmlns:a16="http://schemas.microsoft.com/office/drawing/2014/main" id="{0EA853F4-4AA7-DBCF-720F-78739B213F69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6_seg8">
            <a:extLst>
              <a:ext uri="{FF2B5EF4-FFF2-40B4-BE49-F238E27FC236}">
                <a16:creationId xmlns:a16="http://schemas.microsoft.com/office/drawing/2014/main" id="{388BCB7D-ED4E-7385-AC0F-AA7175FBC766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6_seg6">
            <a:extLst>
              <a:ext uri="{FF2B5EF4-FFF2-40B4-BE49-F238E27FC236}">
                <a16:creationId xmlns:a16="http://schemas.microsoft.com/office/drawing/2014/main" id="{515834EB-305B-162C-A9B3-34799761981F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37" name="red icons">
          <a:extLst>
            <a:ext uri="{FF2B5EF4-FFF2-40B4-BE49-F238E27FC236}">
              <a16:creationId xmlns:a16="http://schemas.microsoft.com/office/drawing/2014/main" id="{255858FB-1CA8-8C61-9D16-C5E88201F554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38" name="pos6_seg10">
            <a:extLst>
              <a:ext uri="{FF2B5EF4-FFF2-40B4-BE49-F238E27FC236}">
                <a16:creationId xmlns:a16="http://schemas.microsoft.com/office/drawing/2014/main" id="{016CB85E-AE52-F312-3126-A52B46F3447F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39" name="pos6_seg11">
            <a:extLst>
              <a:ext uri="{FF2B5EF4-FFF2-40B4-BE49-F238E27FC236}">
                <a16:creationId xmlns:a16="http://schemas.microsoft.com/office/drawing/2014/main" id="{88467A16-4974-4195-9602-29796952D538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40" name="pos6_seg12">
            <a:extLst>
              <a:ext uri="{FF2B5EF4-FFF2-40B4-BE49-F238E27FC236}">
                <a16:creationId xmlns:a16="http://schemas.microsoft.com/office/drawing/2014/main" id="{C8634000-7201-6AB2-610B-A5BCAD8CFDF9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41" name="pos6_seg9">
            <a:extLst>
              <a:ext uri="{FF2B5EF4-FFF2-40B4-BE49-F238E27FC236}">
                <a16:creationId xmlns:a16="http://schemas.microsoft.com/office/drawing/2014/main" id="{09D8E7A0-6091-CD01-EE55-88B81B281970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E6E3CC7F-3B68-4F61-BECC-B2E695315662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2E9E8303-D93B-4CFF-827B-400DEE9F0404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85580E80-5F0B-465F-B58B-CBB231B4F100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4C9C43-B8EF-421A-B420-27D167B4F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CE07C59-ABCA-4518-808A-3521F9703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26080CEC-799D-4A62-B96A-EF368356A9E6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E857798E-90D6-0F93-FA97-0570D52663D3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E8AC2F54-45F8-03AF-981D-5F6C704428B2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A5FF4B9F-85D6-5A8C-2E8F-B98B2D7FF8E2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9346DEC7-6126-F6B8-185F-D8B4966BC6F8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2E6F98DA-20AE-B710-3DD7-0262D309E5BE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F6AC7329-A890-2202-7A2D-CCD52B791CDF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3D746B09-C2FA-BB8D-FAFA-7F724AA9CB93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7806815C-93C9-6EDA-6586-A716299B7E76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7A99A523-E3CD-E106-D30F-3060A6389191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347268AD-A19B-D2F1-676B-8E8D7AB46760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9902566C-F1F6-07A4-70DB-CBC89613F0DA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1B2900DC-5257-0273-812F-48C137BACAC8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0251AE91-B954-BD9A-A946-6CCCFC8BEE22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54D9B04A-4D5D-3F5A-5F98-E113A7A9A429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18670ECF-9B42-D64E-3845-CE955876FD1C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BCA2FE5F-3886-12FF-CCA8-DC38EBE3B04E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E7C6B464-9F05-979B-9AE4-638752D155B3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9FF2A2EA-8C48-FFED-56D0-63A6EA91FE02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5C94FAF2-CF75-DD31-9E1C-79EAAA0257CA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C7EC94B3-5DE3-1F9A-D369-0F1D28C81DCA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14632A0E-115B-486E-8470-975E8F459C8A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AF5D4A1B-C1F3-4C5E-1410-F5E6CB9491A6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6E2949FC-9782-4E1D-8E86-9A0C2314CAAE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45D84E8B-1A27-2AA8-C2F3-64E3B9FD2C60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7CFA5450-8777-C130-D05F-DAB73C106C0C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94F55CBF-79EB-0ABF-3AB9-62FB5238A640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193CB160-D246-64BB-FA91-BE6AB90B6C64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55BF25CB-13AF-86B0-042D-21A0679BFB07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88FC0608-C043-8053-B637-96639AD3A166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436C081B-9938-6B9F-FA4F-62EEF2F78A17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A4390005-E0BE-6B95-666F-53D8AD887425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E1E743F6-6C4E-DE8B-8CC8-371CEC39A4DB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86FD6AC3-8537-35BC-7451-CE4D12534D50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17A6C559-2D85-3687-A32E-AB558CEF5C69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0C63B7F5-CD49-3B3D-5875-383A7A2AB674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C7C65704-B3FB-1244-C363-62A187355010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73E2770F-4874-E783-7E42-540B262A4007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B15607D6-C244-FC82-BB3D-E71292F0DA5A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F837F30B-CF03-721B-2B25-F80928497A80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339F7285-8E1E-ECB7-B523-73ACC558875D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3A6461D6-4823-5E28-4270-208D85A79656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BE000181-5090-46EB-89AC-16C3088BC1F3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5EE0AFE0-177C-E6F4-BD9F-E6D092DD9A67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378FCB94-FA36-611E-7396-AFF8B9F10FBF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0D990C2A-89A1-06B8-8D0A-3FF58CE96C72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0B60B7AB-F9C2-B1F8-71DB-7941C81ADA27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C50C5B25-2EDA-3604-5D5D-79590CE47712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BF12F259-7513-3DD3-EBFA-99E760FE4949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823DDC89-6277-9235-CBC7-7422028FDA24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DF5F0B78-C236-EBE3-61E1-A86C780C2DF5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7E0A5270-7959-5939-678A-0AB4A6036AE7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6404449E-77A5-6BFC-AD3A-D2C8D374514E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65CC82EA-7B2F-457A-EED8-DE11D00CFDDC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C2C89CD7-EB8A-D353-AE29-AF81DB7EB17B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F0473F8F-E2C6-6D58-1AB7-F7CC2C4E828D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4F14CC94-E3EC-0946-4D25-92339C86D3CD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3020B7DD-26BD-5042-9940-C32CEB6D71E7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11B89770-8093-596D-538E-7DB1B6DBCE40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46607153-D4F9-4B96-40CA-71112EE5818C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ED40ED9F-E510-3333-DD08-0E6F938F45AC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9486342A-4B5D-402A-E0DA-B1302791C760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2A0405E4-3D19-1385-FA56-A47B5586A897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CDB35D42-42CF-4F93-BA3B-EB3A5A49F733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58960ACC-6ECF-54C1-D70B-3F5BED13818F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FC3199AF-9B91-5EFB-EAE8-3DD1D00866BD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9402971E-B14E-4E1F-A233-357CFECF95CB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2C1E00B1-F602-06C3-0668-B1D3103A0782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7E112B05-8F38-CAD5-B0D8-3FEE812673FC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9DCF400B-D5D8-6F22-F3F0-D704B8DC3BD4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27A3AFF8-0E9F-9577-12A3-0F10A3930AEC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F9167023-D180-2A98-971D-03480E276AA4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C5CFD74E-4323-073F-7066-6A5F03F81484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04285AE9-A55A-0908-19E7-00ACFC8F0967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6AB9BA19-ED18-66CD-D66F-F864ADE63519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E623A9E2-D834-6CD2-9576-0AAADEE51C28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9B94DC4D-2DE9-ABEA-326B-34E67A5EF41A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343092D8-A5BA-26CB-FCB3-45D3FACA85C8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581F4D69-FB29-474F-5C7E-2A3F730A3CA7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7E7A149A-36E0-3D26-91CF-50174550CEEE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DB8328B3-8AA0-F703-5320-1B247A795F91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EE979AFA-6C4C-409C-B70A-08FED8B15E82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125A5D78-A97C-80C9-DA95-E6F485A3BB22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A96299A7-A9C5-EE01-99AC-FF3505004E3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84A5E748-A7E0-4AFB-9C84-023C36E9C324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E61A9AB6-5041-3836-4E14-1EC1E3B60B14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9C718F69-E1D7-2BDA-F734-7BB5ED13B5A1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4BE0D91E-AD14-09F4-BA29-3B1C70F4AB1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7A192894-0C2B-1589-653B-594EA0A18EFD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63E25B27-C005-A246-61BE-46D7F1285D6D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F9830103-824F-CB12-DEA5-383AF8F34ADE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76B6CF7C-869A-AB21-E38B-F80931D8987D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D5C83E05-F6CA-43D0-FA08-9109C84C0946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688D0F63-E0C3-6EAA-B18F-15D94D0484B4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5548238A-8DBC-CB19-8DB1-AF1B320D00FE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302C1AA5-F63B-A9A5-3459-30798C9939EE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7E3000AF-73A0-B271-52CB-A2B7093B6D70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DBE9D452-8A17-FF51-05F6-4C1C006F1E4D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A789B0CE-A7F0-6A44-7505-5A451C652B38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A9438655-A70B-C546-1F47-578A5AF93DC8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6FE29513-9096-F7FB-E6D1-6C86F3BADAA1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40161660-B112-C357-909B-28A9DED286D4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7C2E3E4B-C5A3-6D42-D3EB-4BECA2E5C9C5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DB2DC1C8-646E-46D0-281A-722A427D5151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BEC75188-B465-D5A2-878C-659638A85F3A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E47BD3B5-7350-4C4B-9A6A-7F9A3F8D522B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D222D084-C048-C828-4343-9456DA9EC7C9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034EAAED-40B2-B495-8551-35F6F037B0F6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28D395F2-5CFD-88F5-C06D-66B04C3049A2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55EF0717-B1A4-7D0A-E76D-E32BB8097361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EBEC795B-D917-7FF5-653E-EBA88243420B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B6010087-BCB5-B4B5-C554-A77C8BD803A2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482830F1-7C78-29A1-E9E7-882C1D7B032C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ED6CE23B-4BE8-047C-3AF8-BCBE0C702540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DCDA550B-7CAE-72B6-DAF0-2DC4CE031909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96B4928A-1183-58E3-504C-65005B8F2540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830F8DDD-0B8F-2F5B-2139-AF51EE4B81C5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5611614C-24B8-42E5-F47E-618E3AB97608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9CEA0D43-00AB-DAD6-14BB-9D8D59CF051C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209CDD97-9126-22CF-824E-E8F86574E7C8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CAB0588A-2BF7-4F83-BF5E-A39FB5E5C58F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68EB8098-D898-1065-0EE2-B42C54C2F3DC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2CA9F372-A5C4-ACD1-2558-6E6782294BE9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852DDD4A-87A5-7461-A01C-A25294F467D7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71271CF5-F39D-326A-D93F-DBE453DE6A49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9C0632BC-F052-7A05-CBDF-17A112D43C98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3944CBEF-4AEC-4981-8E8B-E27B4BC09D81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4EE59200-1C2F-4C80-830D-D68A455718ED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B5A3C72E-ECDF-4077-B33B-152BA2A38734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D0BDF503-ABDF-7484-4607-E499EFB35285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1A5AE00D-55EC-60AA-C9FE-C81F9F7CF917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6A63E24A-5103-F8DD-9370-CC5051E28720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3A512B19-3A34-AA2F-F304-5BB1B1830964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457F76DE-522E-D478-490B-205E2DBF6166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108B77D2-C3E8-9A99-5E04-907F74D67AA3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D311530C-45D7-E300-C673-9FA8ED00310A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B7C62594-2975-7DA8-8E6A-2714D8F4CC32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ACDB96FF-450B-D30E-8B77-883C708020C9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741E7B86-6A11-45D8-9BCB-EDED50490DA3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3AA8A262-DE32-2980-9E5B-A9C370A9BBF4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A3D681E3-D1C5-965C-35D8-1864B2B0011D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85A01EE8-D28A-65A4-F338-9E1E3306F6F2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99261648-944F-2952-BF1B-2F364CBADD72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3B48E5C7-6D2A-44FD-9738-42BA64BA49B4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662E434A-CBD2-4A9C-BC96-635DD4B15D67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0F3E8769-AD61-455E-B64F-77A7866F7A25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769BFF-5099-421E-B9AD-B008D820A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BA02645-44BF-41E2-BC15-2225688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1FD85252-D71E-42AE-B36A-1FAE40BFE090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3DC0020E-AB66-8BD0-3E01-C21C018B7889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4C398CF1-D071-2290-5B62-C4DC55EF609D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D55815C6-2314-DCB2-3B04-8FF76FCE2E31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CA41550B-F8FF-D0AD-8F17-760A818BDD68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69083608-6084-A4B3-8100-54E3D4C30BBF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181BD1B7-76AA-D7D8-0D36-9627319C02C9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6CE91A42-ABF0-90F5-7C8A-D838627917B6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50FCC906-6ABE-BD74-7EB1-441098A12E43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E85D4F26-7335-A4A9-F437-AAE564DE82AA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E13926FE-DDD5-6FDE-2EC9-BD274CB9066A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A3806F81-A16B-6302-F38E-09BA954AB45C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825AB8F2-B9FF-BD29-D29E-0BC3F8ABE43D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9765BEAC-619D-1864-8E67-03E804CDCA3A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804DD50E-2E6F-6843-F8DD-9EB75403775C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4A7349B6-9A2A-6BF1-D3AF-89A2C01E97D2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04C7D374-958F-62C0-C0AA-7918E0F572B5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88701335-4BE0-94EC-63A3-777A224D1E5C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98074982-2591-0740-2474-FD8FBAD65FAB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142BFD29-02F2-8B46-09B2-D6A659B0CF33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3F2D5564-BDD4-02DA-184C-7506D2BD3F48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F551267C-6D44-4C3E-8D35-C5F24F8C3757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32971763-50A6-69B3-FE7F-D3FE2FA950EB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49A11D5C-8BEB-14D8-F148-6E9D32ACD1F1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D922634B-D3B2-8D5D-38B6-86C3ECCFE1E8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588A5105-312E-6FF1-E7E3-EA1EB434CFA2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7CE9B4DA-4866-7324-5C96-CEF054C8058A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3E62DB08-6993-5C72-8423-4230690695F9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22249F1C-6517-EF6F-A8E0-21C817FDF555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579BE192-C290-625E-C073-3B01D566D0B0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4654867D-BEB5-B3F1-DA80-71240740AC82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3604CE96-0E17-8686-1A07-18E1BC887AE5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39E8ACF0-F3A1-3B56-2FE4-CA85697CF931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FFB98F05-FE32-90AB-22FF-D473C88C7068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A1BA244A-2A58-A562-DBA5-F370BC5B9229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806D9C78-379D-8927-D566-C13694385012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E96F6F2D-4CE3-88B9-337C-D38FE1D7DCFC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3DF584A7-6DAC-784D-1E0C-4CBE39A4EC24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FCAAE401-D165-8FF6-AF4B-A8C265EFF450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A74058EE-6811-A150-EE7F-15BA2C2137D6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369F4818-9F74-243F-A439-E63DFF6E32C0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2F68969E-8FBD-567C-54BA-515AFFA16269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468D00CF-8626-4C39-A8F4-4F6675F93CCB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47887498-5928-A471-2B46-ECD89240D49F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E947FD82-1743-335B-C6BB-23C1A67DA4D3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3CA180EF-013D-327A-6D17-93303048F486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AE6B2A6D-9C60-BC68-7E6A-1FBAD65F0EE6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474990F1-7498-66D6-D152-9D9553E61DA2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3FAA90E2-B0AC-F6E3-57E8-27B64D063B6D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63AD6107-E988-A708-5DBB-5DAC8348120C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A6745D29-2632-D0A8-89C7-E03DF3D43CE9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AA99828A-7EB9-2322-1DB0-2A4AAAD974AA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F1D6ACE0-4CA4-EDFE-34B2-8C6B0A3DF032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4152FF6B-96EE-0AD9-CCDB-3A37F6D85074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A9CDB2F4-017D-7DBF-C803-AD6E8DAFE97D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FE98110F-7C97-406F-2DE6-42ED8B9D73E3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F0B5934B-B7F4-A049-6ECC-B8C976AED7D0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524AB92B-308D-FD58-8156-42B32555D402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D132540D-072C-9473-D04F-8F489DD09BE1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AF761A27-485F-F37C-7DAC-0114D5391621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71F1C3CA-CC1A-80D1-422B-F5E06A1E5F22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2412D59C-3E0C-7CDF-B824-BE65B730BD0B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B3AA9FED-CF32-EBC2-8D4B-1099ED221072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CAB0BDEE-E60B-4E17-9B15-D3D22F869357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24D9124D-08E7-394D-325A-7BFC3CE37296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DB4BF692-C74A-784B-0160-39E1FC815655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787A5DDA-5F71-C134-2BDB-3D80037BBDEE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E2E0185D-C375-EF23-6A0D-4A2E69F025DC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664F420D-F13B-7299-118A-89A3FED7DA16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68C724CC-0182-7CA7-6DAA-C5C11628529D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FAAEFA4D-AD15-9E22-3ADC-3C06C514ACCA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D9E5052D-1350-8F21-E20E-B68D429672DC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6CD79D39-2EF2-FCE0-B458-B9E434C21E32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CF31BFC5-C59D-16F3-69FD-39F335FAA922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BD188EB1-BD48-ABAC-BD48-CD197787DF79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74C9B22E-7FD2-9912-11DF-F686663C2D7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78032710-ADAA-F4C1-D1C5-41DEBA5D969D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5BFD4F96-02FF-5DE5-A704-828933094E6C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E43C64A5-566E-C672-8C7A-12F948852F5A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4136D1FE-23AC-D821-F856-B2581B7AD620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528296BF-64C0-AA05-45D7-335060C9857F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4C447F7B-C82C-3D34-9A76-C81E50B80970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852DCE37-815E-F181-EE20-895759F2A898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09A77024-A584-9021-A2FE-8D3AC3E88B97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C59609D3-5356-4EC6-9BE4-52680F731E0F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202C4B2A-153D-BDB3-8227-A232C14E450D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28AE76C9-0765-A9AF-C4D5-2DFA6267311D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F3E20DE9-8689-FE1B-0DBF-C005E8688CC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507FA098-0C96-1190-A1C3-B13B5FCC4E5C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C5EFD596-D9B1-0DC2-7823-1E7A09689793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F68F9DBB-D531-F5FC-3CD4-47380A327A78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65D3CDE7-A7C3-3B50-07CB-A1E129602445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1E3225CC-1A24-D6EE-1871-55236D08E682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48A71DA0-83CC-47E0-553C-07EF6D58CFCB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23DBBF7C-0E8D-1DA4-D9EC-DB2EABDC04FF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C5B41613-615E-1B90-9231-9B52F717A90A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29ADCC2F-B0A0-2906-0610-8C699707B0C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35B67A78-A90F-97A7-1E32-35D7447318D3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C23116A2-A0FF-3231-9ADC-0B0AF50BA518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862938B5-5E2F-4F59-01D9-170011EA879F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481C26DE-F3FA-E924-C01E-C377B8CC1B53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1951F824-8E0E-454F-09BC-58F485640230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BEDA138D-E388-865F-9D46-0DCFFC18DBBF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36B87B1C-720A-B750-E98F-4A55534D05A5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05F8EFE6-9E72-D06E-CA69-96171166F37C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BCB629A0-2D15-467E-8E1D-AD6EBB911CC8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734C23D2-6C1B-70AF-3A25-BF0A3A700C90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E901C738-1459-2858-E795-733D52EC7250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4D8FC974-17B2-26BF-4F3F-93398D9E9EBD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362D258D-411C-5D9C-D3F8-407C090E5FD1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04204BA5-9318-693F-A1EC-F073C4C6AB26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C587EA6A-2D9F-A672-8483-9E174CEEB213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238FB07C-3E7E-5905-E71B-1A693ABFCDD4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3421E7AF-41A2-93AE-B401-7DDC0AF6EF13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E7B6DD12-06D6-FBF2-A676-F2516E0E1F07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3B2794A2-3E6B-AE2C-3869-6EA43815A9CF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5A334B25-87BB-41D4-7A05-B97EA20681EB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506541FE-EEEA-6802-DF65-9346F8DA872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F764EDB2-E98B-AD9A-12E5-5E72FB755155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EC0D5442-FF51-1A93-2AD2-BCD1D3F4599F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F83059D7-40D3-6F44-DCC7-3DA3C2075630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2837271B-B1DA-84A0-002F-DD07B0F8FD46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5E3A4078-B3F3-9BCB-AE0B-24B40B14D2C8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38E8C363-F8C1-03BA-DFE8-96F53F578626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E77DB5A8-4BC7-2D12-546D-FBF2AFE1FF3A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97770995-86F7-0ACD-2A60-EF5E0BD79FE0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424AB20A-94B4-4CC8-8744-23DE5ADCF1DC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3D82E1F0-D80B-4AA0-A809-C39225B316BD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B851996E-6714-4D2D-8D14-5BB5A29BF65E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A2614F60-8D1F-62FB-ADB7-9B35CA2C0F7E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D3C2E21D-1D25-4301-BF45-C9BC2BE4FFF7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138FA382-A82D-4D1A-BAC4-1E3694CD7058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18848A59-4692-9DC3-80DB-CD2AAE5DBCE6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5BD134A2-96D3-00B8-C539-8985F89F4B42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8556795E-498C-5266-977D-0D732E11F090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5E20BD61-C9B8-60D0-3C46-76C1DEDA7874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98E87C04-DF17-4669-1D17-7CD94CB0B7DC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B819961B-BEAF-E9C7-4F9B-6592E28EB5B8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08B3C4DE-EA04-4484-822C-A2841849B0CF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EDB1D6E5-6796-635B-9A11-A377CAA782CD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7DC7482F-1D79-0BE2-339C-0F7D5DADA0EC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C9D6C9EC-0046-9D0B-7EE9-4AF774E9F50E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1A39227B-713A-92D1-3817-BD49111CB0AD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87296B6C-2C9D-4518-84D7-BA179DA2E4F3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FFD6092F-92A3-475E-9FFD-7EEF8ABEF15C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7C13A67C-E5BA-42C0-BF62-1C9393F2B1BB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A8665E-3913-4B25-806F-DA969CEBB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5D41306-A271-4E68-A09D-96C7B60E5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7EB3F00B-2FC3-4AF7-ABA3-7BEFF7134B8B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83A22A44-419A-E43A-59A9-3FD18D9BF16F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9CCC2FC8-7AB7-338A-C46B-1C283081C9F2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BB3B9C57-5BDD-E2A4-F7DC-FE35A93C62F4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41D9E47E-7ED5-D48D-3161-881CF9439F9A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9960BD5C-82AA-AEA7-04C4-41FF4A8ABEBC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D33098EA-2374-F660-BD66-B58E362C644A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A4F39725-2150-CD71-D44F-BEE28B27C57D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205D9A09-49DA-2631-58A7-802AAD13978F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C612E01D-A8A9-9C33-1158-E5CE5DF0E694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0CC2A671-14D8-7B33-787D-3D8623A9B4F7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26492CE9-E812-0A6B-9BDE-C37BA8A7EE7B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1B3E4AC4-05DB-248D-CF85-A7BC833B8075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E572AAF4-7595-9225-DFD6-24747DBC27EC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F124A9D5-F7B8-C01B-F776-37BEA4A7B7E7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2CAAA60A-F0D4-C7C0-94E1-BA48367E0942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1751BA0D-D4D1-B0BD-4D2B-5C026ECE7C4D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607E02A1-2F5E-6972-AD45-50BED2BE3AA6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578B5F9C-8863-D108-35B3-DEB6C8423586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364FB859-9E02-5678-5EC8-1D280715D891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2FA4F1DE-D788-AC22-3F3B-0350D651C96C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B874624B-3A58-4C5D-9B22-707A1D43DDF2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462E854D-71BF-24AD-D524-16E74C2EED69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36BC0EC2-F1C5-411B-FB21-C2D5A652565A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5DBD07C7-D709-6682-CE77-933AE33A40CF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80623B2D-3BD1-88D7-4684-809F9BA95B61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6F09029E-DF0D-AB61-40A1-58D9FAD6C3A4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9B114327-2D00-D19E-B5D1-BBE8E9C647E3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8FFB3E1F-70F8-E375-446E-F63603A7A202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96A22C37-2143-D1B9-EB39-8893266899D8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DD18AECB-E78E-6027-F68D-48A37E617DAA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7137367E-AA48-98DA-CAE1-3C018F2802BD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A8A20B1F-1E02-5464-12EF-6EB57B72FEFB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34013FA6-AC8D-A1C6-3C36-9C8A6E43670F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AF640DAA-5F0D-28FF-FF13-EA56A80ACA8F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09E4CF48-DDB2-A74F-23AF-BC523E781BAB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BD9824FC-7197-9CD1-1FC2-173A5E0B005A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B6379946-4F65-478F-D24F-E2A192BCDFFB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1C20B2A2-0CBE-572C-86BF-7221405E8595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8B2C8973-634B-5A3E-2CE0-FB3434233F50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83CC9C01-F243-5819-36E9-B45671BCCF2D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6854833D-4280-90C3-A832-2986A47FF248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83DC98C3-F81E-43F5-8F34-5345171F6089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47F6F728-FCD6-5E49-A736-DA84ACCB815D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26A2E221-CAEA-9E22-AF7A-B388FF694C31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50E94AB7-CEC0-ED9C-C1CA-1B73FD881CA6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DA389A6B-024A-C821-73C6-CE4309875AB5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518C1191-5F03-CB5A-1317-85D6A1C12DBC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2F6FE270-1CAF-F913-57AF-ACF48F675127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9FF03E63-1EE6-A723-BA77-B63CE19EDEDD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8E3A12DF-A6DD-A56A-D2DE-9CBA1AB4B63B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7CC07331-457C-028F-FFCF-436B087B3DC3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68B65E52-B667-AB58-E626-5B03235F8B85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4431F823-21FF-5311-79CE-A890B4E4D527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7E944E50-CC2D-48F6-F4E5-8B06AA8FB339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A8C3F4E5-16BF-A2DB-62E7-CFB639C35055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425F0311-A291-45D0-0C4C-5964F1C8C773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FA4D6B6F-4BBC-DBF2-CD04-ECEB77B31C68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B6703F98-269F-C738-CAAC-E1B3FA853F6A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748BC62C-A045-158D-2C7F-2B4304287117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FF1520AA-2CDD-CF60-7266-C996A76B43FA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36D79AF5-09E1-8135-E959-101C150E928E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18CD2B9C-64D9-339B-EA46-9DADF2DC797C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8C3EE97F-1BA2-4160-AE96-01E35BF79482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7507E558-DB5A-7630-8145-ECAE93DA141A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868AC206-64D1-2FAD-4376-9FE8E114F74C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BE4C37FE-A430-4726-0511-8A4B1D237319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8AB824D8-6BB1-CF52-15CC-D8B938D59AEE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FF2A5915-50E5-92E5-DC2A-B9DE7B533094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73BCFDFE-C663-08F4-B8A6-66DE673B5AA7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FB4F4884-3FE2-5B65-AD16-1B0980ED484C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35C3F1C0-773F-A0E1-4595-F05AE3F8EE2E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AB216D6D-FC44-6BA8-7848-1521E5520651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EDE51C5F-FEA4-453A-28A7-7227170E0425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EBA66E1B-8E97-A344-FA0D-0CE19E147435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21940F57-1852-FCB6-F48C-91CE55EE22B8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8FA3D393-3019-8FFF-5D9E-23F1AE4FADE1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7EACD50D-0B3F-E8AC-B0F6-D395F1A2D0EB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22F17BF5-0230-1942-02A5-34AC022FB725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C8CBE177-9C85-0361-BCF6-E3ED03684708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4B6C2FA2-0449-AEF0-34D9-543813A30CB1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6ADCB629-E3C3-9358-4872-3BE0564B2C5B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60B26271-AB90-40B1-782B-CDF8D91CB48A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83E65AC9-14EA-BFC4-A534-6180B017A167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DEDA2B23-903F-4C75-BB1F-CF060D6431AD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E5BADE6C-BC9A-8820-4AAB-193031FC2646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D231ACBB-EBDC-6269-1046-D916A2028921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9F4D2795-73F7-7B83-01E8-696E71FA229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EBA20B4A-64CF-C82E-1677-E398B1115E81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115DDE8B-A918-E415-6938-A1319E94C419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44BD1BEB-567C-E10D-9FBC-F01DE885EC64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6D0C5190-F83C-799C-EB2F-D5709F4ACFD4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B8D3E7D8-C0EA-CC27-52E4-ED18A3261074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5D0C9936-19E5-49F3-2021-16016AF76A92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25DC6A26-12F3-D33F-6CBF-ED91F192A660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B82ABFFF-84C6-7215-8C52-EDBC635952CC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81E6B749-7A14-E056-0E57-2B7D353FFA76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6F480A2B-EDD8-4498-78B0-3C1C773361C4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54086C36-C3CD-D67A-0C66-187324CC325B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8D0022DB-0F1F-C896-30A2-D17D2571D3AC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CCAB6BBE-F01D-468B-8350-B07C50457329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AE1A9CC9-9071-5511-E5D0-19083F734E26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7D709E88-6146-80DC-B3CD-2A2CE2222A21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89BF7083-C79F-AD79-D00C-7315D2E0107C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21B80741-AC42-7C08-53BD-534E098F6428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DDD21EF6-5E2D-4852-83A1-9E0EDC235672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A0E0770A-6023-D952-9B37-111A700F8DE8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8ACC685B-C323-3D23-64EE-DAC2248D1FDB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15F4C550-1B16-97B5-3199-9A6CAE2D84FC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7EC306FB-07AB-24D5-7FF5-EE6696FBE574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C2DC46DF-C956-8EB4-6D12-CAF2B9746963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1F8B2C94-6B23-0F97-C9C5-25A259609C6A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F55B608D-4C30-4C88-68E4-B88087C1A265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6EC89992-094F-40B5-DEF8-7B1A1A758ED4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4EA6F37C-A519-1B81-523D-0CE3089D0230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C1FA76DC-B5DF-5431-8EE6-B7B124DA5124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AD2B630B-529E-F9E9-7760-94411967F3B3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5C4A3FF5-BF27-33CE-F3A6-E4A0AA8A3D9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72E70FA8-D615-0255-0CD5-D84ECDC2CE65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A241186C-7800-BD71-FEFC-48765C47BD32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0CF944E6-62C6-A34D-3040-88F436D37061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38CCDFB0-BC21-B69D-5465-4BD874308227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522D2DD3-87ED-542B-3C1C-8E7533E57509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16D3C0F2-4BE6-E679-1D99-B0E08DB5258E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1DF89950-0B08-9E17-5F19-BC520A43C6A9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42807063-895E-A390-45AF-AB47ACA4E78E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CC93E556-8D83-4412-A948-05C3F3046FAC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28C97CD8-6D92-448A-AD04-6F66D0D71231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6E050B59-62D8-4994-9D1D-82A0CA303ED5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7A4DE677-C423-A909-51C4-493EF04862DE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CAC04A08-80C5-59E0-4C29-FB8993E70B6A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E6CF3DD7-2447-B454-B2B5-41F352693B27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529C6045-2D41-675F-5A25-5856C5D3C56B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ED51C810-B437-AE95-1679-3AE3385DA3EE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E8760CA4-C948-4F01-B6BB-41B29EAD1874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2C119F5B-2574-6C81-E0A9-18523634D941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CFCAFD64-D6F3-62CB-C450-F88884CDFEFC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9D6D0CCF-2FEF-CBC8-25EB-310EBB7E51CF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7EC86D64-4103-44A6-A212-3754E33C9474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E372E8A8-CA02-69CD-F935-36A289C63C7A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298EB334-324B-7247-3F18-ADFA897F2BA3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D0D140FB-2FCE-484D-8E7A-D453763D09CA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9FE98E2C-EB3A-48DB-4BB3-367D452D3135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86768851-B1C5-4E29-AE20-256A848DEC87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622612C0-2016-4FBB-9642-AF630BF1AA15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88F9FF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EEC22586-B3DE-4D15-B2C1-9D41A8532301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83A18C-A750-44AD-B590-ABF9F3F9F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93A4A7-DEF1-43D2-B5B6-229FC3DD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D463A2B2-FCBC-4233-9E83-5668995FAB4A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413EDD35-5ACE-28AA-9168-59D091C711EA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2C2E7B56-D192-FDFA-4A5C-6E186E7E4678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FD4142B5-EA8D-1593-416C-0CFF0DADA7AF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62572BED-01FA-48ED-4F8F-286F51E38CEA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565E5221-5E69-79B6-E193-F1509504D7F5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EEDFAAE1-88DB-5AD7-D1F7-A6D7A83F8109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612E1E85-D962-A698-1E36-564AA94BEA08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0E01579C-5FA3-4F0A-61C3-42389761D201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FFB2417D-60A0-A3F5-889E-D82DC93FE4D5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906821C1-E61B-5F93-C4EC-54FCBEE47E9A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212E9BAE-865D-D6CC-0681-9E06B1E3D3FD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525C6009-D7D4-02EB-1B3F-BD600F078E11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F534505D-3010-89B0-16FE-430D7EA4096F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797D0A96-309C-C7E2-2CD1-78751EA7DD98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E3DAD9BA-78FA-BA94-5634-B627F60C3EA6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F99C690A-0062-53C3-3878-42C421417268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CCF2541D-FF81-552B-60D9-8300175689D0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E014B333-9C61-EADB-486C-3ECC8B1128D0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3B2A212C-7AB1-4803-85A0-952EEEA36083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78B76FE0-F6A2-F063-09B9-55A44F26252C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185BA124-17C1-476A-A547-A8A86AC74F07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ADB6896F-0CCB-C14E-0F3C-A79D50FDD807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5D3EB961-E3DD-2BF7-ACE0-CA5D0717E770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6FA1F5EA-D137-E51F-C37F-658F8FF70F66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417A7852-3B8D-F237-F7B5-1C31F8F447B9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A7F09C71-052D-5146-CD15-4929D0ABFFE9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C430A1BD-F0CC-293A-679C-221E6FE8C7B9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99D2B990-DBF1-A421-9834-AC7E38E3C778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ACCE4796-AEE1-B159-FC41-5A218FBAA688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EDD5622A-F983-534C-E5FA-BA1DD13C70BE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3947F6FB-C466-9619-BAB4-1A2A2884E0C3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38B4EC57-4802-1E81-BC04-9410755E80A6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060722B0-52B1-4031-3A00-F0673F5D0F5B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1B463974-36B0-35A2-12ED-9528F7B1FD01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4A497459-0247-4A1A-2CD1-4FD9129D3D85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23E13937-C45C-EB61-5029-000A1E668824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1D926C56-136E-94A4-5CB2-A85FF12C19F0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9EFAFDED-6AD5-40BE-F26E-658483582C8F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02B38530-6621-C163-22F5-8DDD534359EB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B0D32202-437C-D4E7-D66F-DEB612576387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7F101F43-9F4A-74B1-2287-AB48DAAB0CF5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369192E8-EECC-4326-B854-3E46E3786CB7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BA36EE00-AD1F-934E-2E5C-FBC15D6F52C2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429433AA-777D-63C2-E87F-6A036B6D1678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2D8A1EC3-2475-0D39-DFB5-0C389452461E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1226E9FB-841D-31E6-C1DB-A240E276142F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5F76354E-1245-B539-FF8A-56DFEC5EFA04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BD96CB9C-C95A-0523-E4AE-10B21C3AEBF6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5C8D182E-AB73-87A2-2AE4-399BCF8A325D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A63C3371-6A13-6127-FC54-8E66CE03FCEC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1E4104A3-3262-18F2-A1D0-3AA1D3268B30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0039FD26-0C7B-ADB5-527B-03DBB66E4E5F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BDDF0C50-663B-C6D0-5BDD-3CC28BCAFD99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D15864B4-EA2B-A353-934E-6FF7C2C67E81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D537A220-268A-B8A8-2245-A1D1B3DF736E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7F4A8D92-FAB5-BFD0-33B3-379210802109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4164EA81-25A8-D53E-C4B5-21EFEECF983F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111CE7ED-EC12-2581-BB5A-E11DDE690662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E1121151-DF78-6240-5020-20E87CDDA765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FC7FB7B0-4D40-7219-F9C7-480F5265EBC0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566963E5-6C4D-EC36-0006-157622E09593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65B77033-14F1-E009-306E-CA63D8E47C67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72D3865C-BF80-4E16-99F4-D6B2D10D3E29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1C975598-A4A6-12BE-2D88-7772E9F7551D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1B00BD29-1B7D-6E6E-0ABD-439F4895BF44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C806C7E6-F7BD-9D80-45CD-C7B95DC76A92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52BAFCD0-A0FD-DDCB-B020-7EDC0FC77848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1C7DC51A-27A0-4FBD-22A9-38B74BB573C3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F93FF50D-CD33-41C3-5089-C19222F92E8C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23187C38-D858-0DFC-4F69-7D6F64E02887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FB550226-60CF-EE4C-0CFA-B894009AB7CF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D4E7430F-50A8-3172-8C43-1399A9264E1F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A80D5BA0-542E-7578-82B5-F54FCC06C7ED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B737710F-A6C6-E478-6267-3D98859FF3D8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25DC1A70-9430-B947-251E-7817A65CFE70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27F1E13A-2D30-D81A-1611-7DFFE5FA1486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30B5D476-1D1E-4D6C-4799-672B51C50478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64C9468C-9957-4782-7920-D8694031BE2D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6B129226-AB67-222A-BB36-036B3F591494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1720C5D0-10AF-36BA-24F6-96E803C167B0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99FAF486-27FF-075C-4873-20E467182E82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D4DCD361-8BC0-0DFA-1F33-E3CA32F8335B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75098C0B-2219-C573-073E-23F0E9A195E5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6842BDDB-CABF-4F49-866C-CA094FAA4CDB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C351CC1E-0ED8-58C6-8B56-384DF2DE3B05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AB80B120-5C88-4BFC-A517-42B9629A7490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FBFADD31-0C1E-455C-BB6E-682647AD3C80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B5CBF954-AC07-DAC5-397A-01DA850A0AFB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138B3C77-1EE1-F515-5933-9AF0E2E64AE7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61D7B912-FD2D-B7A7-91FB-27E31E030BB8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A629E700-59B6-5FC9-46D0-80F9EBBDD376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F7534570-080F-EA52-4BAB-5EF44E095163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5364D01C-63DD-D2A7-571E-78D7E9375368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69FBDEF2-9606-ECFB-27EA-B0B1EE54E1E6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899F44AC-35D0-632C-CB0B-DCF3025C428A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FA416378-7869-2312-2415-2042A1FD0A0A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977EA47E-A3A9-DF0F-94D0-9F3BA3B0FB2C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6932395F-72D4-9C93-46C1-E3F3C2BEF3F7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21866ADB-DC19-17B8-C66A-FA7E690AEF2D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DD0561EE-8C82-4568-8EED-22DB5E01756C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F689CB7F-B80C-9010-51CB-F551C745994D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4BA79491-7037-C96E-F2E2-90EDED0DDAB4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CE0FEE62-A4F4-18AE-71DE-5A8083550ADE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18710C61-148B-2586-3BA8-0502957D32A4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4B42E2FB-0684-4182-B600-371B9796B659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659448FC-A22D-2C12-D3D5-0B9D3A79B273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5A66A3F5-E00A-AA28-D1BC-35E34F5799DF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A28A01AF-2597-F3B0-7D3A-255FBC0FCE3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79F5105D-10B4-83BD-99CA-CA055D745A49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8050AD00-0899-F3D4-45F1-0DB9B1067EDC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6B6A4B76-BB69-A15C-62DB-A287C22C4B91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13F98AC9-7875-9567-D4D3-ABC215895579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4DFA4FE3-4CFE-5B0A-A4C9-48C4FFC1C5A2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0A52BF5A-5B27-E9E7-C843-FF91CE73DBF9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6EA4DD90-B059-C5F4-684B-FE5B8F15B2E6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552A4157-3BC1-73E9-AC95-175D5BFD91E5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D898CF45-D743-638F-93F0-8564E6A170E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0ACA6843-F599-B6FA-F443-4E946DF79CFB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11F06A8F-D53B-FDDC-74CE-F91B44F09B2D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86C647C7-7522-2CCF-EE8B-082177B683AF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B2403002-270A-8F68-AA58-33DC3E659177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C2449A46-5F69-B51D-9AAF-30AFDF83FAB7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B155402D-24D1-2FA3-7870-C0A4D406C7FD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FD5FA0F6-2BD8-D615-98FA-C9C1D9FB1EC6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42AFF59A-1CB4-F0B0-4D23-95687DF2FAC5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395D5229-5293-4005-9364-13F32E71BECD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CD1F29D7-5FB9-4593-BE1F-D68B888CC35E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A8B046E8-62CF-459C-8FC3-A464A0211E75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386CE7E3-675E-DC79-24AF-0C18BD7815E3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3C05EB2A-BEDD-DE00-7FE9-1F9198829279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A645EAE0-C747-FE28-EBCE-FB6BA1EE064C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975AEFB3-5B2D-C17E-A8FD-404B32E7CC69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04821BFF-0528-1803-F092-E095F7FCB7B9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C2A0399B-CEE9-9F56-2AC0-FCBF4103147B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0D94D99A-E8B6-41AD-9A7E-E76D934B740B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39F37294-4B11-CBEF-FAD5-CC3DE0596DB8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967DD434-C7F3-5F8F-25FD-CD5E693A1F56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AB03B750-C259-4D35-9D98-1C349E587526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E260F783-3970-CFFA-A39E-33892376AB2B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B84E6249-4302-D60F-0EDF-E2FFD60F9C4B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F07845E3-A3BE-8639-F281-38EAEC01BFC0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196C70D0-B2EF-166A-D1AF-EC2DE29930C1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5C623A63-7B3A-468F-80CC-54715926F8B2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912CB7E9-9395-4014-8199-9125E50069AF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5D74DCB9-44A1-4B35-BEB4-D06044DE4CDF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398FB4-822B-45E0-B52A-E5160829B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BE904D-D777-4476-9C07-97DB7E760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EA1B71D3-5222-4E35-8468-B2BF5D6F80A9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8D722C2B-5B90-CF09-D486-922546FE3BC1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9E06EE9F-4933-0A9B-DDDE-8A64BD161B11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2CA144A7-DC13-9B24-E05F-0FB53C7C65A1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86297CDF-E578-D587-53B1-D947A981627E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98C5B90D-37B7-D2CC-9BBD-F43E495770D4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E78B2677-8DAE-F21B-86C6-FF29AAC41BD7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707D2B4A-F716-D489-C51D-95979AEDE893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DB373389-F864-0D3F-781A-02FC93D9D1E6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2FB6ACBD-D1BD-B305-780C-4FC409C1191A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B3609FB3-95E3-C352-322D-069F39103BA2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4C79E3DA-3C84-0E74-BD4E-EB3A4FCA9286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6F23EA4D-0994-62F9-13F4-92D3FB393504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78761446-2A73-69FF-15A9-0CCBBFFBA7C7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F2008A41-ECCF-8E34-ABB4-21995EE35380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17CD3B5C-8821-8CA9-9F1C-111B2A07B275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275FB035-3E2F-EA50-9E1E-82439119E9E3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0CD12949-0238-E742-CDF2-FE4F26C6A692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082146AC-B253-8314-02E7-2085E48913E4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76238B17-A2BE-4B3D-2472-49CB2E379449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75954C4B-5CDF-F6BF-0F36-E18E5E6D33E9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9D13E52D-250C-4ACA-811C-622A38A29C51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6BBAE7B0-95FD-09BB-3A06-E1C30C0E62B2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DB95A33B-4280-8D08-9815-6912A17D1298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5BDBCB54-2CFA-CC2D-DFFA-6CC71F3AE9CB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E480428A-441F-FEE3-405D-6D9471234E7C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D35FFED8-403B-FFE6-20EA-5EC784BD3509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BA5F9E39-9E56-275C-3719-413C2B060400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D1FEBBF8-26FA-B5F1-2373-BE7DBBC43F6E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D00485B3-815D-190D-E874-7755231B1221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903F21BD-A1E4-1BC6-61AE-763004FA32BA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DB4EEDAD-5305-FD48-420E-D93BD06B7028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E3D49A15-BB4B-C85E-6D20-A67268B0870E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9463B825-BFCE-8BB9-0515-A4261ABBB097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F663660B-723E-D814-C26C-70B6731DA846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6E5E491D-1122-5069-FBE4-67225067EA3A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3E0C73E6-B637-7958-E61C-B6711DAA7BB1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AEEA07C0-6446-3DD4-48B3-D73A424252D4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09C53CDC-322F-5586-C7A4-DD979906956E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F8518A89-F36B-5D91-37EB-B39A1C51E480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CA9EF907-3501-BA4D-9E29-412431A11AE6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FA9FAAB4-EEE6-6DB6-09E3-91140170A445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3EE2B352-C176-4FF8-AF48-E3F7EFD11C1E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B6F6BDD3-503F-1356-8D55-AB67C5217B0F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84F4A384-B9FE-D5F3-888F-0D4232234D4E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3AC13BDE-EF78-ECD0-13F9-873981B548E9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EA11AC07-F4EC-EDCB-16A7-8470E0A44F95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5A2B6A20-76DD-9C24-49A6-1C5C21A026F8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81C88D04-33EF-7E47-5DED-52B02D02BF64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6D99A0B8-9C29-1D76-57DE-8DA1AB28C873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BCC8641F-A21A-25F2-7007-E4EE8F6DDC75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7724A04C-66D8-FE19-A6CF-D57BDDB40377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243F4124-E8CF-B232-8941-4F9BA8E28D7F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AB7CE656-770E-2D3F-4568-035134470B20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2FB5E99F-7B53-42AD-FC1C-74C260884789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D3935673-DBCB-3480-8C38-FDE3BE22BDB3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06B09B2E-FB03-4913-5569-279B2978877D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B3B1CF4A-260C-152F-08C5-B64068969F85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ED175BC7-6680-4AA1-9522-73D0BF2E2A4D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1CF9E192-B5BE-0952-9B2C-263497651C1A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3055A863-03F6-339B-B5CA-E18037FD47F9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E3E8560B-9A69-285D-77B6-B500704F62B0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C0E18AA1-2B9D-CC1D-21F4-30C401E768E5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E0097BD3-3D50-4155-BE81-99B0489AE2B0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82ACE56F-FB54-126C-90B0-50D354737EF0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CB48B845-6A33-FD64-9085-F51C6E68E61D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26952C9F-6898-D669-F1C0-190637D8D445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ED1148C3-405A-3D27-738B-4FCA907EED03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4450D2BA-3883-FBFC-7D32-3768CD97ECAC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C3447C1B-0AA2-95FC-8BE4-F8C55A88CBB0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4D18C522-79B3-50CA-1F9D-3AD9903FE5A1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8CD3272B-31B5-A7F7-3D84-EC7025DB261E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8B5409B7-F1C8-FCF8-7CA8-948538BD8F86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E7806A0B-A681-FA02-0E3F-80BA2B91F34A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7650EADB-6BD0-840A-17C8-A9EE46CE1A34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997DB24D-4953-6AD2-A87E-3DDB2FDE319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EC4B94CA-6014-1A60-6324-EB14E18D19EA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3C1D062A-8420-FE53-5869-B1CB3A3F643A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9FA15ADD-50FC-23FC-2D4C-F241C4C7E52B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CC5A955C-95EF-A4AE-74D2-830937EA82CC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87B02D0F-25B6-BE18-DF83-46E4D796E433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B58FE283-9842-19D4-5EF7-66F7F983462D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02E9E3AD-B59D-230A-1178-E09B196E69CB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30D4D7D6-8A16-38B2-787A-A4D0BBF7C79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1B922523-272B-4FDE-810E-CEE29D6ADDF3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B534AD8D-3EA5-F257-2416-BB1E7785FC7E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911835EB-716C-14BF-2EE7-CC92C55BA352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015131F0-422A-1B98-5267-77E85CFCE5A0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257598E4-889B-72E9-8F86-C78F9B6CB6A0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E18A32EE-F9B7-7B05-BF50-3B0336F8BB89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DDF8D571-9F0D-2553-55DB-E5AA6753BD12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5496D9A2-8549-01F7-AEB9-B68F6CC0811D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2C7E7C3C-9EE3-EA38-1BBE-558531A96F10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9CA80BE1-DD16-E604-5E0C-B1C2CFA94CB6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639342BC-5170-CF46-83FD-223968C1804A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CDBACD45-8574-2A70-AE9D-D340570D4BD6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61F9A9D0-FAAD-AAA0-6804-2EB1E63F2056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32379784-50A2-5371-B1AE-052377CDA878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291CE671-B391-A371-32A4-BBEDC648EEA6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13897B95-D8DC-93C3-A006-7C1DBC55C6D4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A2957CA5-2AB5-A428-E6A7-A82F29734799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DDA42FAF-6C6E-9F69-66CC-2C7611E85992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385C79A9-CABA-C49A-FE6E-0F17A8E345AE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BACB9B72-19CB-CD3D-3DB1-E5F2CE449ABD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C00C65F5-DACF-FD18-5D41-3B27BEFA96F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690FF3A1-9F8D-40B3-B1E8-CBD193362482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B90937BB-5D24-ED7E-5E86-D41863F10B48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9E96C281-50E7-7EA6-2052-8D03B0A1156E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EDFC657B-228C-A974-F593-6DD1250217BE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2CB7E406-7E6D-A14A-2FFB-6CC741FB29D3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8BF8DB9A-E763-7C44-F9D0-31694643BC5C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4BD7F501-D9BF-47EB-CD10-95AC238A9CAD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E0DCC438-5F10-055A-0FC3-E8E0C18D2B04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C18B1D56-0047-FFD2-2A37-D46CA55E79C2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C7E0F13B-43B7-4FCF-962B-2D051D6F80DA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705D3BA7-8FBC-3A5B-302C-44BCCDC7E217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B8E70C1D-EF8B-2985-08E1-020C4B4E89F4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92B638FA-F14A-1DF6-85E9-4B78F675A8A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62629594-B1DA-8549-C5D5-326776D95BBF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11F7640E-8232-60B5-D7D1-E7E03B16C51B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2618E67A-BAF4-93A2-20E2-5B26ECAEFA8B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E3C9A0BA-A595-B24C-5809-9ECB59D3EBCA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B92C3E80-12E4-5DAB-858E-311F5AABB045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53F6E511-DFA2-D894-1AE7-319989955CD3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C5FD5C65-846E-28ED-3DEC-1A682D364A40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5258CCC8-F391-40AD-EA39-079D1C695CE8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166D0A1B-4C9F-450E-B832-0AB4569F0ED2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CC0B911C-220F-455C-8624-778C331DCA67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1D7EC41D-5CA2-4E04-8187-B8CF07F94873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35913D9B-AB3C-66AA-EA3D-1784D1BB5B28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B9882147-FD1E-4BB4-4E13-9077C3550097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6D1FD498-59C9-CF7E-0CCA-AB200125AEFB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5B73E5BC-BAA6-FADC-DEA9-F3E37F91E1DB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E955B457-CF9B-7A80-5210-613AD77890BE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56B2B677-9842-21AD-664A-22E35B9A5C6C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19B2BEC4-2CB0-1F3A-B26B-057570C2D6BA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6CFB245A-01CF-0070-0D09-D244B5682ED5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2FC7884A-F597-9869-80E6-F0FC8A5CF27A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768A4260-8F85-4ED9-9A07-C4D0D1D828AE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1C41747F-7263-BE03-7B81-05C0986610FA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121D1B8E-8B1D-4A4E-A20F-20E713BFE0A2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9B813ACC-230D-DA79-ACCA-3C2ABB2FF4D6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ACA614C2-A765-E9C8-426E-327F1441645F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7E09EBD9-8796-4E3A-820E-C317101CE3E4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68886355-E5E8-40B6-BFF9-D7A35E265121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4258CF89-6956-4C72-A98F-DBF4379E2009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E9190A-4418-4976-BB18-7774FF333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B5DAC0-43F2-41AC-A53A-6A90DCE3E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DF7802F6-1DA5-4403-B586-080598B17310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7FE013B2-0AE7-1F5C-9BC0-7E72FCB4CDDE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5BB7A09E-D6F7-0323-5930-D3EF0C6D64BA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8EF6B559-185C-ABA1-7134-B070CC255AD4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50A6C8E3-1E49-3FE6-BAB7-6826A3582C61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1E91D595-5914-20A4-C4B7-0B8E2B4A179B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5ACF7711-D0FF-B13C-7ED1-BAE9DB7126B7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7D54AC3B-8DEE-2D0F-B407-4ADDB8E383B3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BC8FFE55-A3A5-9DDB-7043-39099E287354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1DA02762-41A3-D7CB-E2DC-8564869F4425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5FA4E323-F677-1FB9-BB79-7390A28ECC2E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6F50A91B-73A6-5DED-94CF-215E2407F77B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B2383CE8-A288-54C8-DF21-74826B9CDB24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D3C19E33-8A67-81C8-A685-B7492ABE70D9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FC17D5A6-7E38-510E-1282-1B8DA903D662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8BA80833-E0E9-A3C9-FDBB-B59EB0C406E9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6572F7D6-0013-E868-557E-0A6FDA3327CA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2A4083D0-9662-89E8-2D00-1D1F58DC0A5B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6B33B7B1-EE8D-A489-3018-943DFA7B8413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4A333C17-E613-4C62-C45B-CAF749C1271C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61F55A25-A814-1595-382A-34430D35C1B6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96191C5B-A109-4409-8279-7652AFFE2609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81B451A6-3ACC-1E4B-7E65-A4D82F153D7A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3CCCEEDB-0B2E-620D-7558-7910D4873943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D0EDD369-95CD-E82C-1BFC-96DCDE3E1AC1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BA84EC81-F25E-B1F7-BE52-50D04E630394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800C444C-6DD4-1F0C-5755-70E99222A772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00B95A04-6BE5-DC42-EB4F-F0114A60D3D8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822D3C7F-608E-5783-4984-BA7E827A8DA2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B3E224BB-976B-0829-7540-47D0B4C216C8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8030E960-FBD2-F369-0615-AC837BDD78D7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6B10BFEC-5DA3-537C-9D52-6B68CAEAF507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AF6D065B-0A31-0263-4D37-46E226757EA5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A5D6E4F2-F37C-14DB-BBBC-15EB4158883D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3C59507E-F342-A720-C599-3F447A6D14FA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BE2F8A6A-BCC8-9094-463A-9B7D4CEE8C51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D26DFA49-BF93-8D3D-A415-7313E6FF4BDA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33F31F53-DD76-B332-7759-1E1EA5ED8A18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4967DEC8-1C96-97E5-161F-EAF059377E71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00EE7523-E951-C749-760D-36D1C61F17F7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68F77C8A-6C90-FE00-46D6-BB7E5DEE163A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DCE5C837-5243-02A2-B279-627AF438BB2C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FB16BD35-7C95-4CEC-AB3D-D8C20F35F35F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652468E5-F391-1D00-FB0F-AEE508064253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A9BD94E9-6DCE-17FE-5D1C-55121C49A48E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66CF734A-CA4F-EB73-D5D7-817556FF4527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6CE25E75-D6F1-F82E-6BF2-C20EF77CD795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CF068954-26CE-3991-85C2-C4BB21C9EBAF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72891D97-E7B0-C320-406D-EA52BF55754E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F0C1D127-8858-C2D5-8422-CF20C26649F9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0C5401BC-70BF-87D4-7095-8A7FE57212E1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44A3803B-925F-6D21-4383-17E45FBED42A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38EB7F6B-B920-DB74-F81F-EB3493FF22E3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04FCD992-D6A6-EE30-6644-D8F9CF6C35D1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66432574-E892-BD35-228F-D876EE1BF76E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74F20F46-AE8A-939B-9DBB-5A19368FEFA7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E45A0BC5-4AFB-B47A-CDC8-0415A91B3ECF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E6CCB71A-890F-A188-C019-18EB1DE1D068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0C301270-9BF8-3A81-B53A-47B0261ED949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8D6F3D98-E7D3-FA18-BB00-6373368EB729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4DCF6750-9072-FA7D-4025-41C4DC85F48C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6CE59023-A4CC-78ED-EF25-59BB1B551FD2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F05CAE66-8C0D-179B-1833-D77C906A0486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11C0FF68-66B3-470D-9F6F-D8A72F566A3C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0FCA0FB5-8C8C-8E26-E226-762F4AB63186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B07F5C51-F920-129B-C495-888E5C70E6B8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A8AB84FF-C667-7440-CC74-01ABCA58BFEF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BB8D798F-D2C8-4574-9BDF-7AE7F95A0912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ADB310D7-3740-AE8F-B2B3-9154E3971A62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482B8F26-B123-4A1A-9074-B35FEB589183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A133AD7D-8803-3B48-684C-ADCC520125D7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A036E21F-FE90-C472-C82E-D3030A1FE59A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0B85E2F4-10B0-F4D8-DCA6-878B47779B80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A310204C-420F-2834-1389-58B8CE9E2C8B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B9233B2A-565C-C7A8-9492-439BE208B484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A96F315D-67F4-2285-12C2-FC14546D1DA4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053A6F78-52D3-CD54-267D-492FDFBACACA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3A672DB8-13FE-8B34-AFE9-40062ADA3ABE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8896F98A-4BC2-D35B-04D2-C963D50BD5FE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9C02F6A4-8716-C130-4990-BBC8F4395950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0756808D-8F20-9FE5-CF20-7D8F37CD8B47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5ACDDA10-E82E-871C-4607-35DF4B879E85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FA14D37F-9AC5-249E-F51E-36A7E6B8D2D1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02EC0702-90FF-2406-F20B-F5FDFA2CAF89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B28B3348-D228-406F-A36B-79AF6E67DFAC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A361F684-C566-35C6-AF2C-33188477A9D9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36CFB968-E048-B3B4-3496-6E5BE92AE8E4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A2647E92-4514-CA35-C55B-E40DAAC2B09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7BFAF331-8B2E-FA43-1F08-CFB3E3C32CE5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DC9B29D9-AFFE-DE94-7165-5C5A1297FBC1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7572C03A-EEBE-1F8A-A757-1C22409210F0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9F9CBDF9-F2E1-BC37-7BF5-D25C507D82C2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FF8909EA-DC19-EDF7-B2E8-9A04E4C41CAF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D308087F-DB1C-8A22-CBD3-5D564B1E2B08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9D1EE911-6577-C454-6ABD-086F9AFFC9F7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0625A459-8B94-383C-AE4B-01EC08356D68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D5747B11-5151-5934-E868-FBB679AD10CF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B069E4EF-CCA4-E233-05CC-736022AB8ED4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528E812A-C0D3-2430-2180-5059BC06B4F9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38A030EB-A590-37BA-3A7B-0FDAEC016051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89833898-4C14-F43C-B1BD-96FD8A08A16E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65BA3916-7DDA-421C-5FF1-2047519CEEED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8A6C22C0-A92D-3FCE-0F48-0CEADAC8E230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4EC8AC01-A242-3219-FE99-B37D27A27ADB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0DE383D6-998F-8227-C194-A0710036C94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E0FB7C63-EB8D-4FCA-AE7E-80CF47259E9F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1C48C924-0443-5892-BE07-5EC400BB13D6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BDBD50AE-34DC-334F-181F-9D84BFCA994F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6F2AA542-0E3D-0F46-0C36-F51D3EB8FB7F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201C3B71-129F-68EF-31B9-F81359048AFB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8DFE24B1-CA67-4E12-B791-B159EDA6494E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79248319-8A2D-0180-5A06-C070E8BC1743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4DF5B87C-DD41-0D95-4D1C-75A715E263AD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88E2FCB1-7009-4B2E-9221-2DAB75A0B96F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901B9022-9DCF-899F-FB98-AE8219CDABBC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2C09D11B-61CB-A34C-318C-C3D43176653C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20402339-D062-5D5B-6D5E-94987F22A775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1B1457C4-7A60-4A06-0573-9663D4D8C8BB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A01A4B9D-6F03-34FE-8F8C-34667FE0AAAF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815739A6-DF21-E4CD-BE3E-2425159FA6EC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58470998-2FEF-8441-BF0E-65498624576A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2359871F-7D2C-480E-46E9-D3886B742B2B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18EBA79C-534D-EFD0-E284-A4FC156BCB8B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C3707EBC-66B9-457C-1239-10D0CA12F96A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30331DA4-C532-29A3-EDFA-17BCD8DFB359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5D4AA758-7B9D-61A4-407E-BE66F518D0B9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813FCF50-DB48-4C01-9C95-04A49773A172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4DA430B4-392A-4F5C-8EE4-043B835A2E46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88F9FF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6EC5D9F1-F2E2-4317-9840-E7C734461B5B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8D27AA59-82F7-9EB1-5779-432D53653443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BFC0B52E-7994-5D65-1BCB-3308FDCC2CB8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862D844C-2932-BEE3-07D3-D6492DF3A36B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72FB3F4D-9B4C-5AD6-3FD1-DEACF0F95F8B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97806E8F-31BD-BFE7-2B2B-232DF7EFF5B8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8C15879E-93E0-7322-5B78-DA7222C6EABD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CD02B4A0-2E96-2A5D-D5C4-92FCC61F4890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042AD962-BA66-8A29-B765-D852C3B17DEA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E1C6A307-3CE0-B1DC-3D67-F0A8ABBFBDF9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8057097A-4963-4BCA-940E-03A56D82AE39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5518232C-1762-5A92-525B-C40EDE6F8FF9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B8EBE9E0-1CEB-CA3B-B692-740521D3F216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645D1F25-1B88-45F4-ED81-B9B408A4F8CC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08CAA1E1-1DEF-3BC0-C785-EC8DFC7D770C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9C8085D9-B0E2-4391-BCAB-AF170E0B3C1E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37CDD0F5-2BA3-4E76-9BCE-E058FD492EF9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58598E9E-CF3D-4E9E-BE6D-731DFE4A8C77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9B9DAC-850E-472B-A0E1-F9544FA59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13C238-4EE0-48A2-BD84-EB08EDB80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B898AE3E-6D92-4AC7-BBB0-164F0084E3C1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440EFD68-06D2-49A9-F753-A67F10A2132E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487E33CD-45EB-0F7A-60DC-2A6C6109668A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E9ABD3B9-1651-F38F-9D8E-0E891805A6D9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0FA064B1-8F75-2118-1B20-852CC2C0D9B7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8E6038F0-780D-5C60-2804-808259DA64B2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D6F72881-F57D-5417-CFE3-692C0D51D454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6DC62D7C-A033-ACD0-7ED0-DB063D849264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41E0334C-3914-E337-C77C-55A5232A0FAB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BDC00C53-25BE-D79F-1E03-5F230E35B05F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E675C40F-647E-6C4C-1A1C-BA26A41B347E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DDE6C62A-7E73-AB15-38D8-1B9AF8114BEA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E8F8A264-DCB2-2EB1-6CAA-F8E37ECB2403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84523329-AD4E-B532-56AF-37BE6FD3E3C8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D7C42CC8-1EA0-69F6-54EB-277F79ABAE02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AB30A15E-98DD-E30A-518E-EC03B6462B0C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8D9019E8-D7AA-4095-44E3-66939C880E7E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4947E446-31B4-4B73-020B-7764F5A5418C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BB256976-29A8-378D-5B47-B2F5ABA4F2C7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64A697E1-E273-10CA-DA51-CE19E4266F4E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C6C124D2-EBE8-1EBC-7586-6F2BCE39E4FB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84D7FD41-BBE4-4BDA-8646-D1D60A41BAB1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5EEC8CE6-0070-A548-532E-EA3A0C40CBC7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2CD3455E-4F04-3B61-CA02-7DE7EE2B0032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B2A74193-AA22-BFF5-2652-14FE614FAE09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76B8D543-99D3-C234-736C-49D14FB39EE9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65DDD1D2-3C74-BA4E-B731-959C89C7DC05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91BE7466-401B-4117-AC6A-7FEDE349B1B1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CCFF0E04-78E4-10E4-D052-C7AB78DBDCDC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391AC8FF-C9DC-9599-B1D3-8E2361EEDFC7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03AAA81D-128F-A434-18D2-2E852F9B27E3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96CC0E06-1BB2-DF82-E994-D2AB09C3ADA5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DC90F0EC-1425-BCF6-0980-4BF253335A69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4C409B11-7DB9-81EF-BA27-FBB9F48C48C7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60F6A7E0-D8F0-73D9-2C5C-FD0A6E79FCC5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B5099FDD-83E9-23EC-C1D1-ECEB18D55A45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83F6A166-46AA-6B64-D663-EF81546E328A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BFA47F8D-DC65-430F-C2C4-50114F1B9FF9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D6B75D40-04A2-1298-6CCB-FAB355F4BE55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F546CC82-D682-2374-C8A2-D367BC5994FA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4D1973A7-4086-E666-4ED4-AA8F68BD1653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5B65360C-07C8-D332-BC3F-D10C506A17FD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36247625-BA24-44CA-9079-5D3066955AE6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185F724F-9FBC-AD4A-6CE0-94E020B663D9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20C424B9-7195-CB78-CE11-833D06AF52F1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182A85C0-8698-A7D2-75C8-19F2F88F71FA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869571FD-3DA0-B763-11BA-5B5B002712C3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44011B04-7F12-4631-41EA-38936BFABDAD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50E7BC43-7134-1D00-C91A-30AE2FB6F396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41D0C245-F3EC-AE06-29A1-C22172CDD08F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C74BCAE6-627C-70C1-452E-EF1F557A95ED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FD49B5C3-ECDB-ADEC-5EC0-363F8737ADD3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FE0852C3-87C0-49D2-B79F-0AF3309382CF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4B999FC7-8F97-92AE-3541-24D719E0AE84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7272E73D-9ED2-61FF-9511-6F2E22FF5931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CDED294D-754F-0FEE-0F75-D1BD30EF1B2E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E2D22DAF-F2A1-9567-4BD2-5925975F8081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37C74636-5843-CCCB-0E17-EBD190B16FBD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CB26EEB4-DDB9-1FD2-EE45-6381D58D8056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0D6C555A-EC9F-60A6-BEFA-80840697A785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584AC326-EFC7-F89A-A872-6501EC0E6EA7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9974902B-D788-CD0B-E6D6-F54B4EB25779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83388D73-DA62-5326-234F-61357949C1DC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07DDAD93-06E7-4D70-8D65-352453122D9E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9007C104-A83E-355E-5874-915F66B1994B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9A8D8685-1139-D8EA-CE9A-9681EA1192E9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4D312A2D-38B5-FD94-99AC-1AE0BE8CB94A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E9CB9498-EC03-06DF-1F55-0186A6247851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1726B2FE-38B6-89CA-2663-913B724C80F8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EAA08F12-5B48-0663-BD23-05A2EC23E466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A32C40F9-CD3A-0ACB-0919-145D6BCACC53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05CD80A5-ACF7-F05C-9D34-98CC021B11F0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BBFBEDD8-2324-4FE7-7E5D-82A36EDB0235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F066595B-D686-BF92-0823-5C2212DB811C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F9B680E0-E78E-5509-F4AF-F0E6B5296977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3AE33D72-E4E5-FBC1-F9ED-279F76BE0A74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38F9CCAB-D970-27D9-03B4-216184B18344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50DCA54A-36C4-2E3E-01CC-A4C30742E76B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D9C06E51-A1C5-A95E-A5BC-F3E983920894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109B5159-6B17-9196-9DE1-BEBFFF517F87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90DEEB81-C3C1-BC7B-DF0F-1069AA8C7082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DD0034B9-AB0D-2908-3412-7E797412C327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F4F60EAE-BF42-822F-5D20-CEACB2EFC885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ACFEBB58-45E3-EB9F-455E-B8F2CF0E8DE5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A6AEC7CF-45F5-4F57-A0D8-D751C0277618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F24CDACC-4A32-088D-BFC2-0689E8B8861E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9BE20BA2-A242-3073-7588-6D2E56CDD4D1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5B4ADC26-1B0F-1258-3E51-C64B94B0D5E8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543C9D5C-DB14-0E09-B47A-4C96A2ECC0D6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B4584A43-8577-6712-E8F5-1F66BA8CE191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F2594BF4-8418-0F18-E91F-9517D4C20F28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E4DBC0EC-1B24-7C0C-AD8C-B837B3B3CC1D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3B18081C-AFED-997B-2BC7-4E77AC8FAE35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A4508001-A161-2591-3E89-3C754D3866F4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D0F31CD7-18DF-2C98-AD83-FCBBDA890938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511F60C5-2552-4E0E-A6D7-D68D82C548E5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80B1DEF3-30DC-701C-4A97-0D60D20E1D46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7798E01C-D04D-517A-40C3-9008F58077E3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1CA96026-54D3-5901-A5CC-E4D5A9D3BD34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1AC5C6D4-8F77-4FBB-1CB6-002BC5E55FE9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B71E78D6-4D67-E70D-C9B4-B2F32C19F49F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164944C1-520E-3F50-61B8-F2942D7AD0A5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765A87F6-2015-B81C-14F6-DAC27403FD20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42FF352D-5E7A-EE34-12A9-91C74D57D43C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E89FCF2D-7740-E3C9-0C10-5E86B4E882BC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7BD0A54A-E488-4F06-B96B-870B97BED22A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C4FEBCDE-6F1C-4293-D946-45158D43465C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44795319-58F7-FCC2-2D97-F61653DDA902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473F8498-D521-322E-B3A4-85A051391341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3FC37169-D569-D0D1-848A-644BB661FFE1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40B6D392-2C63-9DCA-C835-412CA8CB810F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29F7EC20-7739-1B85-F8DD-4A0FD510B43C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5CFA90EE-D1B2-DE08-86AB-4D440C542D50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30D1E374-DFF0-04F3-8386-3D098FA70459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A08CE0AD-E10F-11D1-F3C4-9D823251CA6F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EA78AF92-04F1-7592-1A96-C6BB94EE55D1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650FB8BB-EE6C-4001-B60C-A6A223DB6AA8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6C6AFC8C-4A94-9096-AA5A-3AC87B549546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52F62A67-4CB5-A9C0-1CC4-0F9D5A76871C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8462750C-BD82-2B53-5EF7-CCD777F65EEA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76EF32B8-DE9C-2DBE-950C-B989D1EA602F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19A46286-7291-194E-EA14-37347D2F2768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91DEB28A-ABD3-2F70-D6FF-EEB0AB058A58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1A28D9F0-5D8A-CADD-74A2-4F5FCB1263CD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09B3FD68-A5DB-3922-FDB3-55AC0A287B9E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AE351AC8-BB29-2045-ED06-603F4413BEBD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85685F7D-019B-43C9-9D4B-045CBC58A417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DC88B814-6376-4013-B85E-931310EA370E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F314D4D2-DFF6-4737-B922-03C22557A895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7F3B79DA-DE1C-11EB-A1F3-6738225DBB98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748A1BD7-5FA1-25C0-C1A6-03461A588FAF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D188317D-90C5-57B8-C615-886C1FE3DB68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1EDF84EA-8026-A96A-48F2-EED87572D870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B947B9E9-786F-23C7-746D-92960B90F8C2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068048EF-DA36-E670-01E9-220E7B388AD2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64D79F92-211B-BD76-2414-0BE07B5F083E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21EC9879-2257-0EF4-B872-EC3413D4E0DF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7C296D39-D5AA-9CFD-BED2-3A3DFB7AA574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E56E1C37-0DE2-40FC-BEA5-E411A8831ED0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01D65C5B-B774-9E0C-A13D-A564EC0E39CB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2481664C-C2EC-345C-F718-40A7C57F7EE8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037629DD-3810-19EB-F5F2-2C0E89FE00E5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E1F5DA0A-3D67-B7D6-AD43-8CEDB62A64E1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</xdr:row>
      <xdr:rowOff>9525</xdr:rowOff>
    </xdr:from>
    <xdr:to>
      <xdr:col>32</xdr:col>
      <xdr:colOff>603037</xdr:colOff>
      <xdr:row>19</xdr:row>
      <xdr:rowOff>64584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F3524776-4677-4F09-A4BB-5910EF7A6EB8}"/>
            </a:ext>
          </a:extLst>
        </xdr:cNvPr>
        <xdr:cNvSpPr>
          <a:spLocks noChangeArrowheads="1"/>
        </xdr:cNvSpPr>
      </xdr:nvSpPr>
      <xdr:spPr bwMode="auto">
        <a:xfrm>
          <a:off x="619125" y="390525"/>
          <a:ext cx="16062112" cy="3293559"/>
        </a:xfrm>
        <a:prstGeom prst="rect">
          <a:avLst/>
        </a:prstGeom>
        <a:solidFill>
          <a:srgbClr val="CCCC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20</xdr:col>
      <xdr:colOff>256450</xdr:colOff>
      <xdr:row>13</xdr:row>
      <xdr:rowOff>113913</xdr:rowOff>
    </xdr:from>
    <xdr:to>
      <xdr:col>20</xdr:col>
      <xdr:colOff>394466</xdr:colOff>
      <xdr:row>14</xdr:row>
      <xdr:rowOff>63520</xdr:rowOff>
    </xdr:to>
    <xdr:sp macro="[0]!show_clicked_shape_name" textlink="">
      <xdr:nvSpPr>
        <xdr:cNvPr id="3" name="pos4_seg20">
          <a:extLst>
            <a:ext uri="{FF2B5EF4-FFF2-40B4-BE49-F238E27FC236}">
              <a16:creationId xmlns:a16="http://schemas.microsoft.com/office/drawing/2014/main" id="{D32EAEFC-D59C-4425-A223-7AB8185C99D3}"/>
            </a:ext>
          </a:extLst>
        </xdr:cNvPr>
        <xdr:cNvSpPr>
          <a:spLocks noChangeArrowheads="1"/>
        </xdr:cNvSpPr>
      </xdr:nvSpPr>
      <xdr:spPr bwMode="auto">
        <a:xfrm>
          <a:off x="10305325" y="2590413"/>
          <a:ext cx="138016" cy="140107"/>
        </a:xfrm>
        <a:prstGeom prst="ellipse">
          <a:avLst/>
        </a:prstGeom>
        <a:solidFill>
          <a:srgbClr val="353838"/>
        </a:solidFill>
        <a:ln>
          <a:noFill/>
        </a:ln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absolute">
    <xdr:from>
      <xdr:col>1</xdr:col>
      <xdr:colOff>521856</xdr:colOff>
      <xdr:row>4</xdr:row>
      <xdr:rowOff>88578</xdr:rowOff>
    </xdr:from>
    <xdr:to>
      <xdr:col>32</xdr:col>
      <xdr:colOff>96979</xdr:colOff>
      <xdr:row>16</xdr:row>
      <xdr:rowOff>169758</xdr:rowOff>
    </xdr:to>
    <xdr:sp macro="" textlink="">
      <xdr:nvSpPr>
        <xdr:cNvPr id="4" name="Freeform 206">
          <a:extLst>
            <a:ext uri="{FF2B5EF4-FFF2-40B4-BE49-F238E27FC236}">
              <a16:creationId xmlns:a16="http://schemas.microsoft.com/office/drawing/2014/main" id="{D15FC0C5-80CF-4D35-8BFB-74D34003B807}"/>
            </a:ext>
          </a:extLst>
        </xdr:cNvPr>
        <xdr:cNvSpPr>
          <a:spLocks/>
        </xdr:cNvSpPr>
      </xdr:nvSpPr>
      <xdr:spPr bwMode="auto">
        <a:xfrm>
          <a:off x="1131456" y="850578"/>
          <a:ext cx="15043723" cy="2367180"/>
        </a:xfrm>
        <a:custGeom>
          <a:avLst/>
          <a:gdLst>
            <a:gd name="T0" fmla="*/ 10400 w 10400"/>
            <a:gd name="T1" fmla="*/ 1276 h 1636"/>
            <a:gd name="T2" fmla="*/ 10040 w 10400"/>
            <a:gd name="T3" fmla="*/ 1636 h 1636"/>
            <a:gd name="T4" fmla="*/ 360 w 10400"/>
            <a:gd name="T5" fmla="*/ 1636 h 1636"/>
            <a:gd name="T6" fmla="*/ 0 w 10400"/>
            <a:gd name="T7" fmla="*/ 1276 h 1636"/>
            <a:gd name="T8" fmla="*/ 0 w 10400"/>
            <a:gd name="T9" fmla="*/ 360 h 1636"/>
            <a:gd name="T10" fmla="*/ 360 w 10400"/>
            <a:gd name="T11" fmla="*/ 0 h 1636"/>
            <a:gd name="T12" fmla="*/ 10040 w 10400"/>
            <a:gd name="T13" fmla="*/ 0 h 1636"/>
            <a:gd name="T14" fmla="*/ 10400 w 10400"/>
            <a:gd name="T15" fmla="*/ 360 h 1636"/>
            <a:gd name="T16" fmla="*/ 10400 w 10400"/>
            <a:gd name="T17" fmla="*/ 1276 h 16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0400" h="1636">
              <a:moveTo>
                <a:pt x="10400" y="1276"/>
              </a:moveTo>
              <a:cubicBezTo>
                <a:pt x="10400" y="1474"/>
                <a:pt x="10238" y="1636"/>
                <a:pt x="10040" y="1636"/>
              </a:cubicBezTo>
              <a:cubicBezTo>
                <a:pt x="360" y="1636"/>
                <a:pt x="360" y="1636"/>
                <a:pt x="360" y="1636"/>
              </a:cubicBezTo>
              <a:cubicBezTo>
                <a:pt x="162" y="1636"/>
                <a:pt x="0" y="1474"/>
                <a:pt x="0" y="1276"/>
              </a:cubicBezTo>
              <a:cubicBezTo>
                <a:pt x="0" y="360"/>
                <a:pt x="0" y="360"/>
                <a:pt x="0" y="360"/>
              </a:cubicBezTo>
              <a:cubicBezTo>
                <a:pt x="0" y="162"/>
                <a:pt x="162" y="0"/>
                <a:pt x="360" y="0"/>
              </a:cubicBezTo>
              <a:cubicBezTo>
                <a:pt x="10040" y="0"/>
                <a:pt x="10040" y="0"/>
                <a:pt x="10040" y="0"/>
              </a:cubicBezTo>
              <a:cubicBezTo>
                <a:pt x="10238" y="0"/>
                <a:pt x="10400" y="162"/>
                <a:pt x="10400" y="360"/>
              </a:cubicBezTo>
              <a:lnTo>
                <a:pt x="10400" y="1276"/>
              </a:lnTo>
              <a:close/>
            </a:path>
          </a:pathLst>
        </a:custGeom>
        <a:noFill/>
        <a:ln w="23813" cap="rnd">
          <a:solidFill>
            <a:schemeClr val="bg2">
              <a:lumMod val="25000"/>
            </a:schemeClr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vert="horz" wrap="non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5</xdr:col>
      <xdr:colOff>172047</xdr:colOff>
      <xdr:row>84</xdr:row>
      <xdr:rowOff>121479</xdr:rowOff>
    </xdr:from>
    <xdr:to>
      <xdr:col>12</xdr:col>
      <xdr:colOff>152591</xdr:colOff>
      <xdr:row>99</xdr:row>
      <xdr:rowOff>111599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C10C19-1572-42A5-9D1E-4F360A04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0047" y="16123479"/>
          <a:ext cx="3247619" cy="2847620"/>
        </a:xfrm>
        <a:prstGeom prst="rect">
          <a:avLst/>
        </a:prstGeom>
      </xdr:spPr>
    </xdr:pic>
    <xdr:clientData/>
  </xdr:twoCellAnchor>
  <xdr:twoCellAnchor editAs="oneCell">
    <xdr:from>
      <xdr:col>0</xdr:col>
      <xdr:colOff>601508</xdr:colOff>
      <xdr:row>84</xdr:row>
      <xdr:rowOff>177186</xdr:rowOff>
    </xdr:from>
    <xdr:to>
      <xdr:col>4</xdr:col>
      <xdr:colOff>144060</xdr:colOff>
      <xdr:row>100</xdr:row>
      <xdr:rowOff>72043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129937D-82B8-4480-B006-B9BE19A0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508" y="16179186"/>
          <a:ext cx="1980952" cy="2942857"/>
        </a:xfrm>
        <a:prstGeom prst="rect">
          <a:avLst/>
        </a:prstGeom>
      </xdr:spPr>
    </xdr:pic>
    <xdr:clientData/>
  </xdr:twoCellAnchor>
  <xdr:twoCellAnchor>
    <xdr:from>
      <xdr:col>8</xdr:col>
      <xdr:colOff>244507</xdr:colOff>
      <xdr:row>6</xdr:row>
      <xdr:rowOff>10794</xdr:rowOff>
    </xdr:from>
    <xdr:to>
      <xdr:col>10</xdr:col>
      <xdr:colOff>421457</xdr:colOff>
      <xdr:row>14</xdr:row>
      <xdr:rowOff>73976</xdr:rowOff>
    </xdr:to>
    <xdr:grpSp>
      <xdr:nvGrpSpPr>
        <xdr:cNvPr id="7" name="character 0">
          <a:extLst>
            <a:ext uri="{FF2B5EF4-FFF2-40B4-BE49-F238E27FC236}">
              <a16:creationId xmlns:a16="http://schemas.microsoft.com/office/drawing/2014/main" id="{129A4397-C40F-4559-B8CF-AFA9616CDFB1}"/>
            </a:ext>
          </a:extLst>
        </xdr:cNvPr>
        <xdr:cNvGrpSpPr/>
      </xdr:nvGrpSpPr>
      <xdr:grpSpPr>
        <a:xfrm>
          <a:off x="4692682" y="1153794"/>
          <a:ext cx="1110400" cy="1587182"/>
          <a:chOff x="4690841" y="1163399"/>
          <a:chExt cx="1113442" cy="1599989"/>
        </a:xfrm>
      </xdr:grpSpPr>
      <xdr:sp macro="[0]!show_clicked_shape_name" textlink="">
        <xdr:nvSpPr>
          <xdr:cNvPr id="8" name="pos0_seg0">
            <a:extLst>
              <a:ext uri="{FF2B5EF4-FFF2-40B4-BE49-F238E27FC236}">
                <a16:creationId xmlns:a16="http://schemas.microsoft.com/office/drawing/2014/main" id="{CFF95E04-8BB3-CC17-2552-D13770DD4D6D}"/>
              </a:ext>
            </a:extLst>
          </xdr:cNvPr>
          <xdr:cNvSpPr>
            <a:spLocks/>
          </xdr:cNvSpPr>
        </xdr:nvSpPr>
        <xdr:spPr bwMode="auto">
          <a:xfrm>
            <a:off x="4818401" y="1163399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" name="pos0_seg3">
            <a:extLst>
              <a:ext uri="{FF2B5EF4-FFF2-40B4-BE49-F238E27FC236}">
                <a16:creationId xmlns:a16="http://schemas.microsoft.com/office/drawing/2014/main" id="{A4C5F5F2-3465-0EDC-CB17-51ACB0BB0C57}"/>
              </a:ext>
            </a:extLst>
          </xdr:cNvPr>
          <xdr:cNvSpPr>
            <a:spLocks/>
          </xdr:cNvSpPr>
        </xdr:nvSpPr>
        <xdr:spPr bwMode="auto">
          <a:xfrm>
            <a:off x="4772396" y="1374115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" name="pos0_seg6">
            <a:extLst>
              <a:ext uri="{FF2B5EF4-FFF2-40B4-BE49-F238E27FC236}">
                <a16:creationId xmlns:a16="http://schemas.microsoft.com/office/drawing/2014/main" id="{E9FCC7C6-1B44-0735-E0A8-1D1FD1A0B608}"/>
              </a:ext>
            </a:extLst>
          </xdr:cNvPr>
          <xdr:cNvSpPr>
            <a:spLocks/>
          </xdr:cNvSpPr>
        </xdr:nvSpPr>
        <xdr:spPr bwMode="auto">
          <a:xfrm>
            <a:off x="5390236" y="1374115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" name="pos0_seg12">
            <a:extLst>
              <a:ext uri="{FF2B5EF4-FFF2-40B4-BE49-F238E27FC236}">
                <a16:creationId xmlns:a16="http://schemas.microsoft.com/office/drawing/2014/main" id="{1FC597BE-D36A-A0EA-3F20-79E57A93985A}"/>
              </a:ext>
            </a:extLst>
          </xdr:cNvPr>
          <xdr:cNvSpPr>
            <a:spLocks/>
          </xdr:cNvSpPr>
        </xdr:nvSpPr>
        <xdr:spPr bwMode="auto">
          <a:xfrm>
            <a:off x="4924480" y="2085725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" name="pos0_seg13">
            <a:extLst>
              <a:ext uri="{FF2B5EF4-FFF2-40B4-BE49-F238E27FC236}">
                <a16:creationId xmlns:a16="http://schemas.microsoft.com/office/drawing/2014/main" id="{06ED1A87-86E8-D38D-E732-A7F8E5129C6F}"/>
              </a:ext>
            </a:extLst>
          </xdr:cNvPr>
          <xdr:cNvSpPr>
            <a:spLocks/>
          </xdr:cNvSpPr>
        </xdr:nvSpPr>
        <xdr:spPr bwMode="auto">
          <a:xfrm>
            <a:off x="5121048" y="2085725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" name="pos0_seg5">
            <a:extLst>
              <a:ext uri="{FF2B5EF4-FFF2-40B4-BE49-F238E27FC236}">
                <a16:creationId xmlns:a16="http://schemas.microsoft.com/office/drawing/2014/main" id="{41D18582-CADF-A95A-4FDB-0F5E37C38D5F}"/>
              </a:ext>
            </a:extLst>
          </xdr:cNvPr>
          <xdr:cNvSpPr>
            <a:spLocks/>
          </xdr:cNvSpPr>
        </xdr:nvSpPr>
        <xdr:spPr bwMode="auto">
          <a:xfrm>
            <a:off x="5200511" y="1374115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" name="pos0_seg4">
            <a:extLst>
              <a:ext uri="{FF2B5EF4-FFF2-40B4-BE49-F238E27FC236}">
                <a16:creationId xmlns:a16="http://schemas.microsoft.com/office/drawing/2014/main" id="{CBA0F06B-03D1-9919-723B-56C05D018265}"/>
              </a:ext>
            </a:extLst>
          </xdr:cNvPr>
          <xdr:cNvSpPr>
            <a:spLocks/>
          </xdr:cNvSpPr>
        </xdr:nvSpPr>
        <xdr:spPr bwMode="auto">
          <a:xfrm>
            <a:off x="5003944" y="1374115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5" name="pos0_seg14">
            <a:extLst>
              <a:ext uri="{FF2B5EF4-FFF2-40B4-BE49-F238E27FC236}">
                <a16:creationId xmlns:a16="http://schemas.microsoft.com/office/drawing/2014/main" id="{07B40EA4-6D8B-36C6-273E-E6889B34397E}"/>
              </a:ext>
            </a:extLst>
          </xdr:cNvPr>
          <xdr:cNvSpPr>
            <a:spLocks/>
          </xdr:cNvSpPr>
        </xdr:nvSpPr>
        <xdr:spPr bwMode="auto">
          <a:xfrm>
            <a:off x="5340618" y="2085725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6" name="pos0_seg7">
            <a:extLst>
              <a:ext uri="{FF2B5EF4-FFF2-40B4-BE49-F238E27FC236}">
                <a16:creationId xmlns:a16="http://schemas.microsoft.com/office/drawing/2014/main" id="{BD02786F-59E2-18D5-8666-E88CEF7BBDAF}"/>
              </a:ext>
            </a:extLst>
          </xdr:cNvPr>
          <xdr:cNvSpPr>
            <a:spLocks/>
          </xdr:cNvSpPr>
        </xdr:nvSpPr>
        <xdr:spPr bwMode="auto">
          <a:xfrm>
            <a:off x="5597260" y="1374115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7" name="pos0_seg11">
            <a:extLst>
              <a:ext uri="{FF2B5EF4-FFF2-40B4-BE49-F238E27FC236}">
                <a16:creationId xmlns:a16="http://schemas.microsoft.com/office/drawing/2014/main" id="{850B807C-4CB6-0F5E-1260-66702A7C9FF9}"/>
              </a:ext>
            </a:extLst>
          </xdr:cNvPr>
          <xdr:cNvSpPr>
            <a:spLocks/>
          </xdr:cNvSpPr>
        </xdr:nvSpPr>
        <xdr:spPr bwMode="auto">
          <a:xfrm>
            <a:off x="4715935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8" name="pos0_seg15">
            <a:extLst>
              <a:ext uri="{FF2B5EF4-FFF2-40B4-BE49-F238E27FC236}">
                <a16:creationId xmlns:a16="http://schemas.microsoft.com/office/drawing/2014/main" id="{E1C2FBF8-3340-53B9-8452-C46CD7F5C679}"/>
              </a:ext>
            </a:extLst>
          </xdr:cNvPr>
          <xdr:cNvSpPr>
            <a:spLocks/>
          </xdr:cNvSpPr>
        </xdr:nvSpPr>
        <xdr:spPr bwMode="auto">
          <a:xfrm>
            <a:off x="5551254" y="2050176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9" name="pos0_seg2">
            <a:extLst>
              <a:ext uri="{FF2B5EF4-FFF2-40B4-BE49-F238E27FC236}">
                <a16:creationId xmlns:a16="http://schemas.microsoft.com/office/drawing/2014/main" id="{02F41438-4D56-DB12-3C23-43502868301F}"/>
              </a:ext>
            </a:extLst>
          </xdr:cNvPr>
          <xdr:cNvSpPr>
            <a:spLocks/>
          </xdr:cNvSpPr>
        </xdr:nvSpPr>
        <xdr:spPr bwMode="auto">
          <a:xfrm>
            <a:off x="5643265" y="1163399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0" name="pos0_seg1">
            <a:extLst>
              <a:ext uri="{FF2B5EF4-FFF2-40B4-BE49-F238E27FC236}">
                <a16:creationId xmlns:a16="http://schemas.microsoft.com/office/drawing/2014/main" id="{CC508CE8-D45E-32BC-E821-1EB34E5E98DC}"/>
              </a:ext>
            </a:extLst>
          </xdr:cNvPr>
          <xdr:cNvSpPr>
            <a:spLocks/>
          </xdr:cNvSpPr>
        </xdr:nvSpPr>
        <xdr:spPr bwMode="auto">
          <a:xfrm>
            <a:off x="5003944" y="1163399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1" name="pos0_seg16">
            <a:extLst>
              <a:ext uri="{FF2B5EF4-FFF2-40B4-BE49-F238E27FC236}">
                <a16:creationId xmlns:a16="http://schemas.microsoft.com/office/drawing/2014/main" id="{3799B506-8E14-F498-2299-7E5B397A2743}"/>
              </a:ext>
            </a:extLst>
          </xdr:cNvPr>
          <xdr:cNvSpPr>
            <a:spLocks/>
          </xdr:cNvSpPr>
        </xdr:nvSpPr>
        <xdr:spPr bwMode="auto">
          <a:xfrm>
            <a:off x="4690841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2" name="pos0_seg9">
            <a:extLst>
              <a:ext uri="{FF2B5EF4-FFF2-40B4-BE49-F238E27FC236}">
                <a16:creationId xmlns:a16="http://schemas.microsoft.com/office/drawing/2014/main" id="{3A8F1BF2-0390-C4BF-4835-33C81D5735CA}"/>
              </a:ext>
            </a:extLst>
          </xdr:cNvPr>
          <xdr:cNvSpPr>
            <a:spLocks/>
          </xdr:cNvSpPr>
        </xdr:nvSpPr>
        <xdr:spPr bwMode="auto">
          <a:xfrm>
            <a:off x="5167053" y="1887557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3" name="pos0_seg19">
            <a:extLst>
              <a:ext uri="{FF2B5EF4-FFF2-40B4-BE49-F238E27FC236}">
                <a16:creationId xmlns:a16="http://schemas.microsoft.com/office/drawing/2014/main" id="{01741A39-BAC3-6A70-098C-60CD18DC3494}"/>
              </a:ext>
            </a:extLst>
          </xdr:cNvPr>
          <xdr:cNvSpPr>
            <a:spLocks/>
          </xdr:cNvSpPr>
        </xdr:nvSpPr>
        <xdr:spPr bwMode="auto">
          <a:xfrm>
            <a:off x="5515705" y="2600769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4" name="pos0_seg8">
            <a:extLst>
              <a:ext uri="{FF2B5EF4-FFF2-40B4-BE49-F238E27FC236}">
                <a16:creationId xmlns:a16="http://schemas.microsoft.com/office/drawing/2014/main" id="{391D1A1A-2822-FB97-753D-CFA5CD30443B}"/>
              </a:ext>
            </a:extLst>
          </xdr:cNvPr>
          <xdr:cNvSpPr>
            <a:spLocks/>
          </xdr:cNvSpPr>
        </xdr:nvSpPr>
        <xdr:spPr bwMode="auto">
          <a:xfrm>
            <a:off x="4924480" y="1887557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5" name="pos0_seg10">
            <a:extLst>
              <a:ext uri="{FF2B5EF4-FFF2-40B4-BE49-F238E27FC236}">
                <a16:creationId xmlns:a16="http://schemas.microsoft.com/office/drawing/2014/main" id="{A5A22494-C892-27F3-5591-516A201C093E}"/>
              </a:ext>
            </a:extLst>
          </xdr:cNvPr>
          <xdr:cNvSpPr>
            <a:spLocks/>
          </xdr:cNvSpPr>
        </xdr:nvSpPr>
        <xdr:spPr bwMode="auto">
          <a:xfrm>
            <a:off x="5351074" y="1887557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6" name="pos0_seg18">
            <a:extLst>
              <a:ext uri="{FF2B5EF4-FFF2-40B4-BE49-F238E27FC236}">
                <a16:creationId xmlns:a16="http://schemas.microsoft.com/office/drawing/2014/main" id="{6C743329-4055-EECC-6196-35A45E9D56C9}"/>
              </a:ext>
            </a:extLst>
          </xdr:cNvPr>
          <xdr:cNvSpPr>
            <a:spLocks/>
          </xdr:cNvSpPr>
        </xdr:nvSpPr>
        <xdr:spPr bwMode="auto">
          <a:xfrm>
            <a:off x="5121048" y="2600769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27" name="pos0_seg17">
            <a:extLst>
              <a:ext uri="{FF2B5EF4-FFF2-40B4-BE49-F238E27FC236}">
                <a16:creationId xmlns:a16="http://schemas.microsoft.com/office/drawing/2014/main" id="{E88B32C3-2E6F-EDC0-27DF-A9D443893A08}"/>
              </a:ext>
            </a:extLst>
          </xdr:cNvPr>
          <xdr:cNvSpPr>
            <a:spLocks/>
          </xdr:cNvSpPr>
        </xdr:nvSpPr>
        <xdr:spPr bwMode="auto">
          <a:xfrm>
            <a:off x="4873987" y="2599364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11</xdr:col>
      <xdr:colOff>197069</xdr:colOff>
      <xdr:row>5</xdr:row>
      <xdr:rowOff>178786</xdr:rowOff>
    </xdr:from>
    <xdr:to>
      <xdr:col>13</xdr:col>
      <xdr:colOff>368959</xdr:colOff>
      <xdr:row>14</xdr:row>
      <xdr:rowOff>103688</xdr:rowOff>
    </xdr:to>
    <xdr:grpSp>
      <xdr:nvGrpSpPr>
        <xdr:cNvPr id="28" name="character 1">
          <a:extLst>
            <a:ext uri="{FF2B5EF4-FFF2-40B4-BE49-F238E27FC236}">
              <a16:creationId xmlns:a16="http://schemas.microsoft.com/office/drawing/2014/main" id="{BD3CC706-F910-4013-8EE4-4D26D95E29D8}"/>
            </a:ext>
          </a:extLst>
        </xdr:cNvPr>
        <xdr:cNvGrpSpPr/>
      </xdr:nvGrpSpPr>
      <xdr:grpSpPr>
        <a:xfrm>
          <a:off x="6045419" y="1131286"/>
          <a:ext cx="1105340" cy="1639402"/>
          <a:chOff x="2524125" y="2076450"/>
          <a:chExt cx="1113442" cy="1599989"/>
        </a:xfrm>
      </xdr:grpSpPr>
      <xdr:sp macro="[0]!show_clicked_shape_name" textlink="">
        <xdr:nvSpPr>
          <xdr:cNvPr id="29" name="pos1_seg0">
            <a:extLst>
              <a:ext uri="{FF2B5EF4-FFF2-40B4-BE49-F238E27FC236}">
                <a16:creationId xmlns:a16="http://schemas.microsoft.com/office/drawing/2014/main" id="{5CD6BFAB-6261-7B7F-5D4D-5A1211E6A137}"/>
              </a:ext>
            </a:extLst>
          </xdr:cNvPr>
          <xdr:cNvSpPr>
            <a:spLocks/>
          </xdr:cNvSpPr>
        </xdr:nvSpPr>
        <xdr:spPr bwMode="auto">
          <a:xfrm>
            <a:off x="2651685" y="207645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0" name="pos1_seg3">
            <a:extLst>
              <a:ext uri="{FF2B5EF4-FFF2-40B4-BE49-F238E27FC236}">
                <a16:creationId xmlns:a16="http://schemas.microsoft.com/office/drawing/2014/main" id="{AB145718-7951-7D19-9E5B-4863EE3EB2CB}"/>
              </a:ext>
            </a:extLst>
          </xdr:cNvPr>
          <xdr:cNvSpPr>
            <a:spLocks/>
          </xdr:cNvSpPr>
        </xdr:nvSpPr>
        <xdr:spPr bwMode="auto">
          <a:xfrm>
            <a:off x="2605680" y="228716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1" name="pos1_seg6">
            <a:extLst>
              <a:ext uri="{FF2B5EF4-FFF2-40B4-BE49-F238E27FC236}">
                <a16:creationId xmlns:a16="http://schemas.microsoft.com/office/drawing/2014/main" id="{D8C15830-7A9A-1034-57A3-9B55F117EC5E}"/>
              </a:ext>
            </a:extLst>
          </xdr:cNvPr>
          <xdr:cNvSpPr>
            <a:spLocks/>
          </xdr:cNvSpPr>
        </xdr:nvSpPr>
        <xdr:spPr bwMode="auto">
          <a:xfrm>
            <a:off x="3223520" y="228716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2" name="pos1_seg12">
            <a:extLst>
              <a:ext uri="{FF2B5EF4-FFF2-40B4-BE49-F238E27FC236}">
                <a16:creationId xmlns:a16="http://schemas.microsoft.com/office/drawing/2014/main" id="{AEFB77EF-2D8A-8750-703C-F1160BF335A6}"/>
              </a:ext>
            </a:extLst>
          </xdr:cNvPr>
          <xdr:cNvSpPr>
            <a:spLocks/>
          </xdr:cNvSpPr>
        </xdr:nvSpPr>
        <xdr:spPr bwMode="auto">
          <a:xfrm>
            <a:off x="2757764" y="299877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3" name="pos1_seg13">
            <a:extLst>
              <a:ext uri="{FF2B5EF4-FFF2-40B4-BE49-F238E27FC236}">
                <a16:creationId xmlns:a16="http://schemas.microsoft.com/office/drawing/2014/main" id="{D5F39075-039A-31D9-05EE-98A6622AA7C6}"/>
              </a:ext>
            </a:extLst>
          </xdr:cNvPr>
          <xdr:cNvSpPr>
            <a:spLocks/>
          </xdr:cNvSpPr>
        </xdr:nvSpPr>
        <xdr:spPr bwMode="auto">
          <a:xfrm>
            <a:off x="2954332" y="299877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4" name="pos1_seg5">
            <a:extLst>
              <a:ext uri="{FF2B5EF4-FFF2-40B4-BE49-F238E27FC236}">
                <a16:creationId xmlns:a16="http://schemas.microsoft.com/office/drawing/2014/main" id="{8BE67DA5-5C5B-7BD9-F1B0-F9A62A7DD355}"/>
              </a:ext>
            </a:extLst>
          </xdr:cNvPr>
          <xdr:cNvSpPr>
            <a:spLocks/>
          </xdr:cNvSpPr>
        </xdr:nvSpPr>
        <xdr:spPr bwMode="auto">
          <a:xfrm>
            <a:off x="3033795" y="228716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5" name="pos1_seg4">
            <a:extLst>
              <a:ext uri="{FF2B5EF4-FFF2-40B4-BE49-F238E27FC236}">
                <a16:creationId xmlns:a16="http://schemas.microsoft.com/office/drawing/2014/main" id="{34FE6608-DE31-7293-82F1-0FEF017F3DB1}"/>
              </a:ext>
            </a:extLst>
          </xdr:cNvPr>
          <xdr:cNvSpPr>
            <a:spLocks/>
          </xdr:cNvSpPr>
        </xdr:nvSpPr>
        <xdr:spPr bwMode="auto">
          <a:xfrm>
            <a:off x="2837228" y="228716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6" name="pos1_seg14">
            <a:extLst>
              <a:ext uri="{FF2B5EF4-FFF2-40B4-BE49-F238E27FC236}">
                <a16:creationId xmlns:a16="http://schemas.microsoft.com/office/drawing/2014/main" id="{7B14D36A-2362-C0C8-4275-94EE0C7005D4}"/>
              </a:ext>
            </a:extLst>
          </xdr:cNvPr>
          <xdr:cNvSpPr>
            <a:spLocks/>
          </xdr:cNvSpPr>
        </xdr:nvSpPr>
        <xdr:spPr bwMode="auto">
          <a:xfrm>
            <a:off x="3173902" y="299877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7" name="pos1_seg7">
            <a:extLst>
              <a:ext uri="{FF2B5EF4-FFF2-40B4-BE49-F238E27FC236}">
                <a16:creationId xmlns:a16="http://schemas.microsoft.com/office/drawing/2014/main" id="{BB55E21E-7E6C-D42D-365C-980292107173}"/>
              </a:ext>
            </a:extLst>
          </xdr:cNvPr>
          <xdr:cNvSpPr>
            <a:spLocks/>
          </xdr:cNvSpPr>
        </xdr:nvSpPr>
        <xdr:spPr bwMode="auto">
          <a:xfrm>
            <a:off x="3430544" y="228716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8" name="pos1_seg11">
            <a:extLst>
              <a:ext uri="{FF2B5EF4-FFF2-40B4-BE49-F238E27FC236}">
                <a16:creationId xmlns:a16="http://schemas.microsoft.com/office/drawing/2014/main" id="{A20C2E87-71CC-AC69-2A85-5FAF8BCD270E}"/>
              </a:ext>
            </a:extLst>
          </xdr:cNvPr>
          <xdr:cNvSpPr>
            <a:spLocks/>
          </xdr:cNvSpPr>
        </xdr:nvSpPr>
        <xdr:spPr bwMode="auto">
          <a:xfrm>
            <a:off x="2549219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39" name="pos1_seg15">
            <a:extLst>
              <a:ext uri="{FF2B5EF4-FFF2-40B4-BE49-F238E27FC236}">
                <a16:creationId xmlns:a16="http://schemas.microsoft.com/office/drawing/2014/main" id="{BAE4A5D8-6705-363B-3070-0E9B6F097869}"/>
              </a:ext>
            </a:extLst>
          </xdr:cNvPr>
          <xdr:cNvSpPr>
            <a:spLocks/>
          </xdr:cNvSpPr>
        </xdr:nvSpPr>
        <xdr:spPr bwMode="auto">
          <a:xfrm>
            <a:off x="3384538" y="296322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0" name="pos1_seg2">
            <a:extLst>
              <a:ext uri="{FF2B5EF4-FFF2-40B4-BE49-F238E27FC236}">
                <a16:creationId xmlns:a16="http://schemas.microsoft.com/office/drawing/2014/main" id="{7A6222CF-B5C3-97AC-A4D3-E288265136C7}"/>
              </a:ext>
            </a:extLst>
          </xdr:cNvPr>
          <xdr:cNvSpPr>
            <a:spLocks/>
          </xdr:cNvSpPr>
        </xdr:nvSpPr>
        <xdr:spPr bwMode="auto">
          <a:xfrm>
            <a:off x="3476549" y="207645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1" name="pos1_seg1">
            <a:extLst>
              <a:ext uri="{FF2B5EF4-FFF2-40B4-BE49-F238E27FC236}">
                <a16:creationId xmlns:a16="http://schemas.microsoft.com/office/drawing/2014/main" id="{B62B4B70-3819-3838-3DAC-E86C1EACC78F}"/>
              </a:ext>
            </a:extLst>
          </xdr:cNvPr>
          <xdr:cNvSpPr>
            <a:spLocks/>
          </xdr:cNvSpPr>
        </xdr:nvSpPr>
        <xdr:spPr bwMode="auto">
          <a:xfrm>
            <a:off x="2837228" y="207645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2" name="pos1_seg16">
            <a:extLst>
              <a:ext uri="{FF2B5EF4-FFF2-40B4-BE49-F238E27FC236}">
                <a16:creationId xmlns:a16="http://schemas.microsoft.com/office/drawing/2014/main" id="{3009A4E3-2918-D034-F35F-7679678864D3}"/>
              </a:ext>
            </a:extLst>
          </xdr:cNvPr>
          <xdr:cNvSpPr>
            <a:spLocks/>
          </xdr:cNvSpPr>
        </xdr:nvSpPr>
        <xdr:spPr bwMode="auto">
          <a:xfrm>
            <a:off x="2524125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3" name="pos1_seg9">
            <a:extLst>
              <a:ext uri="{FF2B5EF4-FFF2-40B4-BE49-F238E27FC236}">
                <a16:creationId xmlns:a16="http://schemas.microsoft.com/office/drawing/2014/main" id="{41C1EC3A-A883-F741-52A6-CB9C7BBCEC88}"/>
              </a:ext>
            </a:extLst>
          </xdr:cNvPr>
          <xdr:cNvSpPr>
            <a:spLocks/>
          </xdr:cNvSpPr>
        </xdr:nvSpPr>
        <xdr:spPr bwMode="auto">
          <a:xfrm>
            <a:off x="3000337" y="280060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4" name="pos1_seg19">
            <a:extLst>
              <a:ext uri="{FF2B5EF4-FFF2-40B4-BE49-F238E27FC236}">
                <a16:creationId xmlns:a16="http://schemas.microsoft.com/office/drawing/2014/main" id="{7EBE8405-1BC9-3288-35DC-F29296578C0A}"/>
              </a:ext>
            </a:extLst>
          </xdr:cNvPr>
          <xdr:cNvSpPr>
            <a:spLocks/>
          </xdr:cNvSpPr>
        </xdr:nvSpPr>
        <xdr:spPr bwMode="auto">
          <a:xfrm>
            <a:off x="3348989" y="351382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5" name="pos1_seg8">
            <a:extLst>
              <a:ext uri="{FF2B5EF4-FFF2-40B4-BE49-F238E27FC236}">
                <a16:creationId xmlns:a16="http://schemas.microsoft.com/office/drawing/2014/main" id="{60C06DF5-D9DE-0561-9258-BE74458607CC}"/>
              </a:ext>
            </a:extLst>
          </xdr:cNvPr>
          <xdr:cNvSpPr>
            <a:spLocks/>
          </xdr:cNvSpPr>
        </xdr:nvSpPr>
        <xdr:spPr bwMode="auto">
          <a:xfrm>
            <a:off x="2757764" y="280060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6" name="pos1_seg10">
            <a:extLst>
              <a:ext uri="{FF2B5EF4-FFF2-40B4-BE49-F238E27FC236}">
                <a16:creationId xmlns:a16="http://schemas.microsoft.com/office/drawing/2014/main" id="{0BA54DA4-E524-1EB6-E666-994A00BE9CC5}"/>
              </a:ext>
            </a:extLst>
          </xdr:cNvPr>
          <xdr:cNvSpPr>
            <a:spLocks/>
          </xdr:cNvSpPr>
        </xdr:nvSpPr>
        <xdr:spPr bwMode="auto">
          <a:xfrm>
            <a:off x="3184358" y="280060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7" name="pos1_seg18">
            <a:extLst>
              <a:ext uri="{FF2B5EF4-FFF2-40B4-BE49-F238E27FC236}">
                <a16:creationId xmlns:a16="http://schemas.microsoft.com/office/drawing/2014/main" id="{0763F631-22F3-4ACE-0816-FB57B649C427}"/>
              </a:ext>
            </a:extLst>
          </xdr:cNvPr>
          <xdr:cNvSpPr>
            <a:spLocks/>
          </xdr:cNvSpPr>
        </xdr:nvSpPr>
        <xdr:spPr bwMode="auto">
          <a:xfrm>
            <a:off x="2954332" y="351382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48" name="pos1_seg17">
            <a:extLst>
              <a:ext uri="{FF2B5EF4-FFF2-40B4-BE49-F238E27FC236}">
                <a16:creationId xmlns:a16="http://schemas.microsoft.com/office/drawing/2014/main" id="{71AC9C1E-DD8B-78A9-B2D5-9749397FFF17}"/>
              </a:ext>
            </a:extLst>
          </xdr:cNvPr>
          <xdr:cNvSpPr>
            <a:spLocks/>
          </xdr:cNvSpPr>
        </xdr:nvSpPr>
        <xdr:spPr bwMode="auto">
          <a:xfrm>
            <a:off x="2707271" y="351241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14</xdr:col>
      <xdr:colOff>344980</xdr:colOff>
      <xdr:row>5</xdr:row>
      <xdr:rowOff>177362</xdr:rowOff>
    </xdr:from>
    <xdr:to>
      <xdr:col>17</xdr:col>
      <xdr:colOff>46094</xdr:colOff>
      <xdr:row>14</xdr:row>
      <xdr:rowOff>102264</xdr:rowOff>
    </xdr:to>
    <xdr:grpSp>
      <xdr:nvGrpSpPr>
        <xdr:cNvPr id="49" name="character 2">
          <a:extLst>
            <a:ext uri="{FF2B5EF4-FFF2-40B4-BE49-F238E27FC236}">
              <a16:creationId xmlns:a16="http://schemas.microsoft.com/office/drawing/2014/main" id="{D43AEB65-A291-4F85-993F-D70D03884B50}"/>
            </a:ext>
          </a:extLst>
        </xdr:cNvPr>
        <xdr:cNvGrpSpPr/>
      </xdr:nvGrpSpPr>
      <xdr:grpSpPr>
        <a:xfrm>
          <a:off x="7593505" y="1129862"/>
          <a:ext cx="1101289" cy="1639402"/>
          <a:chOff x="4505325" y="2066925"/>
          <a:chExt cx="1113442" cy="1599989"/>
        </a:xfrm>
      </xdr:grpSpPr>
      <xdr:sp macro="[0]!show_clicked_shape_name" textlink="">
        <xdr:nvSpPr>
          <xdr:cNvPr id="50" name="pos2_seg0">
            <a:extLst>
              <a:ext uri="{FF2B5EF4-FFF2-40B4-BE49-F238E27FC236}">
                <a16:creationId xmlns:a16="http://schemas.microsoft.com/office/drawing/2014/main" id="{91FB7A2B-AF35-80B1-C3B2-8637D104544D}"/>
              </a:ext>
            </a:extLst>
          </xdr:cNvPr>
          <xdr:cNvSpPr>
            <a:spLocks/>
          </xdr:cNvSpPr>
        </xdr:nvSpPr>
        <xdr:spPr bwMode="auto">
          <a:xfrm>
            <a:off x="4632885" y="2066925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1" name="pos2_seg3">
            <a:extLst>
              <a:ext uri="{FF2B5EF4-FFF2-40B4-BE49-F238E27FC236}">
                <a16:creationId xmlns:a16="http://schemas.microsoft.com/office/drawing/2014/main" id="{8081EBC7-B594-E2F3-5B81-B18192223F63}"/>
              </a:ext>
            </a:extLst>
          </xdr:cNvPr>
          <xdr:cNvSpPr>
            <a:spLocks/>
          </xdr:cNvSpPr>
        </xdr:nvSpPr>
        <xdr:spPr bwMode="auto">
          <a:xfrm>
            <a:off x="4586880" y="2277641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2" name="pos2_seg6">
            <a:extLst>
              <a:ext uri="{FF2B5EF4-FFF2-40B4-BE49-F238E27FC236}">
                <a16:creationId xmlns:a16="http://schemas.microsoft.com/office/drawing/2014/main" id="{3460C1A2-88FD-F5D2-C587-94FB9552104D}"/>
              </a:ext>
            </a:extLst>
          </xdr:cNvPr>
          <xdr:cNvSpPr>
            <a:spLocks/>
          </xdr:cNvSpPr>
        </xdr:nvSpPr>
        <xdr:spPr bwMode="auto">
          <a:xfrm>
            <a:off x="5204720" y="2277641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3" name="pos2_seg12">
            <a:extLst>
              <a:ext uri="{FF2B5EF4-FFF2-40B4-BE49-F238E27FC236}">
                <a16:creationId xmlns:a16="http://schemas.microsoft.com/office/drawing/2014/main" id="{E87F50E3-76D2-EEB2-64C0-316AB5C68253}"/>
              </a:ext>
            </a:extLst>
          </xdr:cNvPr>
          <xdr:cNvSpPr>
            <a:spLocks/>
          </xdr:cNvSpPr>
        </xdr:nvSpPr>
        <xdr:spPr bwMode="auto">
          <a:xfrm>
            <a:off x="4738964" y="2989251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4" name="pos2_seg13">
            <a:extLst>
              <a:ext uri="{FF2B5EF4-FFF2-40B4-BE49-F238E27FC236}">
                <a16:creationId xmlns:a16="http://schemas.microsoft.com/office/drawing/2014/main" id="{27397631-BE63-68EB-2318-AE96FFBD164B}"/>
              </a:ext>
            </a:extLst>
          </xdr:cNvPr>
          <xdr:cNvSpPr>
            <a:spLocks/>
          </xdr:cNvSpPr>
        </xdr:nvSpPr>
        <xdr:spPr bwMode="auto">
          <a:xfrm>
            <a:off x="4935532" y="2989251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5" name="pos2_seg5">
            <a:extLst>
              <a:ext uri="{FF2B5EF4-FFF2-40B4-BE49-F238E27FC236}">
                <a16:creationId xmlns:a16="http://schemas.microsoft.com/office/drawing/2014/main" id="{19C853E6-E8DB-9B40-EEED-455B5E66AD2D}"/>
              </a:ext>
            </a:extLst>
          </xdr:cNvPr>
          <xdr:cNvSpPr>
            <a:spLocks/>
          </xdr:cNvSpPr>
        </xdr:nvSpPr>
        <xdr:spPr bwMode="auto">
          <a:xfrm>
            <a:off x="5014995" y="2277641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6" name="pos2_seg4">
            <a:extLst>
              <a:ext uri="{FF2B5EF4-FFF2-40B4-BE49-F238E27FC236}">
                <a16:creationId xmlns:a16="http://schemas.microsoft.com/office/drawing/2014/main" id="{6AD4B102-347C-3C13-760F-87D249BF8D5F}"/>
              </a:ext>
            </a:extLst>
          </xdr:cNvPr>
          <xdr:cNvSpPr>
            <a:spLocks/>
          </xdr:cNvSpPr>
        </xdr:nvSpPr>
        <xdr:spPr bwMode="auto">
          <a:xfrm>
            <a:off x="4818428" y="2277641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7" name="pos2_seg14">
            <a:extLst>
              <a:ext uri="{FF2B5EF4-FFF2-40B4-BE49-F238E27FC236}">
                <a16:creationId xmlns:a16="http://schemas.microsoft.com/office/drawing/2014/main" id="{4DEAC97F-1B86-868C-45DA-DD5E9C1E2C06}"/>
              </a:ext>
            </a:extLst>
          </xdr:cNvPr>
          <xdr:cNvSpPr>
            <a:spLocks/>
          </xdr:cNvSpPr>
        </xdr:nvSpPr>
        <xdr:spPr bwMode="auto">
          <a:xfrm>
            <a:off x="5155102" y="2989251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8" name="pos2_seg7">
            <a:extLst>
              <a:ext uri="{FF2B5EF4-FFF2-40B4-BE49-F238E27FC236}">
                <a16:creationId xmlns:a16="http://schemas.microsoft.com/office/drawing/2014/main" id="{0B4E50F2-E156-7B22-0315-C23FA9BAD3AD}"/>
              </a:ext>
            </a:extLst>
          </xdr:cNvPr>
          <xdr:cNvSpPr>
            <a:spLocks/>
          </xdr:cNvSpPr>
        </xdr:nvSpPr>
        <xdr:spPr bwMode="auto">
          <a:xfrm>
            <a:off x="5411744" y="2277641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59" name="pos2_seg11">
            <a:extLst>
              <a:ext uri="{FF2B5EF4-FFF2-40B4-BE49-F238E27FC236}">
                <a16:creationId xmlns:a16="http://schemas.microsoft.com/office/drawing/2014/main" id="{464D7646-4ED9-C7FE-3EAF-A8ACD1F161F2}"/>
              </a:ext>
            </a:extLst>
          </xdr:cNvPr>
          <xdr:cNvSpPr>
            <a:spLocks/>
          </xdr:cNvSpPr>
        </xdr:nvSpPr>
        <xdr:spPr bwMode="auto">
          <a:xfrm>
            <a:off x="4530419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0" name="pos2_seg15">
            <a:extLst>
              <a:ext uri="{FF2B5EF4-FFF2-40B4-BE49-F238E27FC236}">
                <a16:creationId xmlns:a16="http://schemas.microsoft.com/office/drawing/2014/main" id="{308532F1-6BFA-2C26-7C65-058A40636926}"/>
              </a:ext>
            </a:extLst>
          </xdr:cNvPr>
          <xdr:cNvSpPr>
            <a:spLocks/>
          </xdr:cNvSpPr>
        </xdr:nvSpPr>
        <xdr:spPr bwMode="auto">
          <a:xfrm>
            <a:off x="5365738" y="2953702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1" name="pos2_seg2">
            <a:extLst>
              <a:ext uri="{FF2B5EF4-FFF2-40B4-BE49-F238E27FC236}">
                <a16:creationId xmlns:a16="http://schemas.microsoft.com/office/drawing/2014/main" id="{BAF2DF16-4EC5-5624-24A6-E29D43B31B47}"/>
              </a:ext>
            </a:extLst>
          </xdr:cNvPr>
          <xdr:cNvSpPr>
            <a:spLocks/>
          </xdr:cNvSpPr>
        </xdr:nvSpPr>
        <xdr:spPr bwMode="auto">
          <a:xfrm>
            <a:off x="5457749" y="2066925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2" name="pos2_seg1">
            <a:extLst>
              <a:ext uri="{FF2B5EF4-FFF2-40B4-BE49-F238E27FC236}">
                <a16:creationId xmlns:a16="http://schemas.microsoft.com/office/drawing/2014/main" id="{1AEC3ACA-12AC-E2BB-7623-2EC312E07408}"/>
              </a:ext>
            </a:extLst>
          </xdr:cNvPr>
          <xdr:cNvSpPr>
            <a:spLocks/>
          </xdr:cNvSpPr>
        </xdr:nvSpPr>
        <xdr:spPr bwMode="auto">
          <a:xfrm>
            <a:off x="4818428" y="2066925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3" name="pos2_seg16">
            <a:extLst>
              <a:ext uri="{FF2B5EF4-FFF2-40B4-BE49-F238E27FC236}">
                <a16:creationId xmlns:a16="http://schemas.microsoft.com/office/drawing/2014/main" id="{65C377D2-1B55-9CC1-203D-EA48565169A4}"/>
              </a:ext>
            </a:extLst>
          </xdr:cNvPr>
          <xdr:cNvSpPr>
            <a:spLocks/>
          </xdr:cNvSpPr>
        </xdr:nvSpPr>
        <xdr:spPr bwMode="auto">
          <a:xfrm>
            <a:off x="4505325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4" name="pos2_seg9">
            <a:extLst>
              <a:ext uri="{FF2B5EF4-FFF2-40B4-BE49-F238E27FC236}">
                <a16:creationId xmlns:a16="http://schemas.microsoft.com/office/drawing/2014/main" id="{45CA6FA1-2042-9970-6B90-2DC0C2D90E64}"/>
              </a:ext>
            </a:extLst>
          </xdr:cNvPr>
          <xdr:cNvSpPr>
            <a:spLocks/>
          </xdr:cNvSpPr>
        </xdr:nvSpPr>
        <xdr:spPr bwMode="auto">
          <a:xfrm>
            <a:off x="4981537" y="2791083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5" name="pos2_seg19">
            <a:extLst>
              <a:ext uri="{FF2B5EF4-FFF2-40B4-BE49-F238E27FC236}">
                <a16:creationId xmlns:a16="http://schemas.microsoft.com/office/drawing/2014/main" id="{DB5F8914-30A6-F2E3-3739-2C99EBC7FC91}"/>
              </a:ext>
            </a:extLst>
          </xdr:cNvPr>
          <xdr:cNvSpPr>
            <a:spLocks/>
          </xdr:cNvSpPr>
        </xdr:nvSpPr>
        <xdr:spPr bwMode="auto">
          <a:xfrm>
            <a:off x="5330189" y="3504295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6" name="pos2_seg8">
            <a:extLst>
              <a:ext uri="{FF2B5EF4-FFF2-40B4-BE49-F238E27FC236}">
                <a16:creationId xmlns:a16="http://schemas.microsoft.com/office/drawing/2014/main" id="{105C32F3-65B0-F073-13E8-B68EAE8087B9}"/>
              </a:ext>
            </a:extLst>
          </xdr:cNvPr>
          <xdr:cNvSpPr>
            <a:spLocks/>
          </xdr:cNvSpPr>
        </xdr:nvSpPr>
        <xdr:spPr bwMode="auto">
          <a:xfrm>
            <a:off x="4738964" y="2791083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7" name="pos2_seg10">
            <a:extLst>
              <a:ext uri="{FF2B5EF4-FFF2-40B4-BE49-F238E27FC236}">
                <a16:creationId xmlns:a16="http://schemas.microsoft.com/office/drawing/2014/main" id="{D1477CD1-9765-7A36-AEA0-FC68EFCB36AF}"/>
              </a:ext>
            </a:extLst>
          </xdr:cNvPr>
          <xdr:cNvSpPr>
            <a:spLocks/>
          </xdr:cNvSpPr>
        </xdr:nvSpPr>
        <xdr:spPr bwMode="auto">
          <a:xfrm>
            <a:off x="5165558" y="2791083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8" name="pos2_seg18">
            <a:extLst>
              <a:ext uri="{FF2B5EF4-FFF2-40B4-BE49-F238E27FC236}">
                <a16:creationId xmlns:a16="http://schemas.microsoft.com/office/drawing/2014/main" id="{F51D6B0E-EEB2-0335-EBB2-036E432E613C}"/>
              </a:ext>
            </a:extLst>
          </xdr:cNvPr>
          <xdr:cNvSpPr>
            <a:spLocks/>
          </xdr:cNvSpPr>
        </xdr:nvSpPr>
        <xdr:spPr bwMode="auto">
          <a:xfrm>
            <a:off x="4935532" y="3504295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69" name="pos2_seg17">
            <a:extLst>
              <a:ext uri="{FF2B5EF4-FFF2-40B4-BE49-F238E27FC236}">
                <a16:creationId xmlns:a16="http://schemas.microsoft.com/office/drawing/2014/main" id="{055DDC19-C985-20FB-E5CA-B40F89DD5E28}"/>
              </a:ext>
            </a:extLst>
          </xdr:cNvPr>
          <xdr:cNvSpPr>
            <a:spLocks/>
          </xdr:cNvSpPr>
        </xdr:nvSpPr>
        <xdr:spPr bwMode="auto">
          <a:xfrm>
            <a:off x="4688471" y="3502890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17</xdr:col>
      <xdr:colOff>298121</xdr:colOff>
      <xdr:row>5</xdr:row>
      <xdr:rowOff>177910</xdr:rowOff>
    </xdr:from>
    <xdr:to>
      <xdr:col>20</xdr:col>
      <xdr:colOff>3287</xdr:colOff>
      <xdr:row>14</xdr:row>
      <xdr:rowOff>102812</xdr:rowOff>
    </xdr:to>
    <xdr:grpSp>
      <xdr:nvGrpSpPr>
        <xdr:cNvPr id="70" name="character 3">
          <a:extLst>
            <a:ext uri="{FF2B5EF4-FFF2-40B4-BE49-F238E27FC236}">
              <a16:creationId xmlns:a16="http://schemas.microsoft.com/office/drawing/2014/main" id="{E7A4B2A4-C455-4A9F-98E8-C6630A364532}"/>
            </a:ext>
          </a:extLst>
        </xdr:cNvPr>
        <xdr:cNvGrpSpPr/>
      </xdr:nvGrpSpPr>
      <xdr:grpSpPr>
        <a:xfrm>
          <a:off x="8946821" y="1130410"/>
          <a:ext cx="1105341" cy="1639402"/>
          <a:chOff x="6705600" y="1524000"/>
          <a:chExt cx="1113442" cy="1599989"/>
        </a:xfrm>
      </xdr:grpSpPr>
      <xdr:sp macro="[0]!show_clicked_shape_name" textlink="">
        <xdr:nvSpPr>
          <xdr:cNvPr id="71" name="pos3_seg0">
            <a:extLst>
              <a:ext uri="{FF2B5EF4-FFF2-40B4-BE49-F238E27FC236}">
                <a16:creationId xmlns:a16="http://schemas.microsoft.com/office/drawing/2014/main" id="{D3FC1B20-EF44-35E9-E890-7EE156F15A13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2" name="pos3_seg3">
            <a:extLst>
              <a:ext uri="{FF2B5EF4-FFF2-40B4-BE49-F238E27FC236}">
                <a16:creationId xmlns:a16="http://schemas.microsoft.com/office/drawing/2014/main" id="{41CFE8F0-71C4-2E4C-800D-87588310362C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3" name="pos3_seg6">
            <a:extLst>
              <a:ext uri="{FF2B5EF4-FFF2-40B4-BE49-F238E27FC236}">
                <a16:creationId xmlns:a16="http://schemas.microsoft.com/office/drawing/2014/main" id="{B53A4837-6D6E-84F8-EBC4-4F81637C27B3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4" name="pos3_seg12">
            <a:extLst>
              <a:ext uri="{FF2B5EF4-FFF2-40B4-BE49-F238E27FC236}">
                <a16:creationId xmlns:a16="http://schemas.microsoft.com/office/drawing/2014/main" id="{DFF5C0F0-F60D-327E-C154-FE6106CADAD8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5" name="pos3_seg13">
            <a:extLst>
              <a:ext uri="{FF2B5EF4-FFF2-40B4-BE49-F238E27FC236}">
                <a16:creationId xmlns:a16="http://schemas.microsoft.com/office/drawing/2014/main" id="{005DF9A4-34AA-0288-455B-0A2F232EFBE4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6" name="pos3_seg5">
            <a:extLst>
              <a:ext uri="{FF2B5EF4-FFF2-40B4-BE49-F238E27FC236}">
                <a16:creationId xmlns:a16="http://schemas.microsoft.com/office/drawing/2014/main" id="{5C3B69A2-7A48-97E9-6621-0C66C83C3E86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7" name="pos3_seg4">
            <a:extLst>
              <a:ext uri="{FF2B5EF4-FFF2-40B4-BE49-F238E27FC236}">
                <a16:creationId xmlns:a16="http://schemas.microsoft.com/office/drawing/2014/main" id="{3196BCAD-01AD-73A0-EF2B-1DA4CA2CFB67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8" name="pos3_seg14">
            <a:extLst>
              <a:ext uri="{FF2B5EF4-FFF2-40B4-BE49-F238E27FC236}">
                <a16:creationId xmlns:a16="http://schemas.microsoft.com/office/drawing/2014/main" id="{164BDAC5-99E0-0D5B-6C3D-2E1E20C768A7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79" name="pos3_seg7">
            <a:extLst>
              <a:ext uri="{FF2B5EF4-FFF2-40B4-BE49-F238E27FC236}">
                <a16:creationId xmlns:a16="http://schemas.microsoft.com/office/drawing/2014/main" id="{51607B7C-A8F1-80B8-521C-C979F9367FA1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0" name="pos3_seg11">
            <a:extLst>
              <a:ext uri="{FF2B5EF4-FFF2-40B4-BE49-F238E27FC236}">
                <a16:creationId xmlns:a16="http://schemas.microsoft.com/office/drawing/2014/main" id="{C47D6FD4-47AB-DBEB-7A77-0EA76DCCC981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1" name="pos3_seg15">
            <a:extLst>
              <a:ext uri="{FF2B5EF4-FFF2-40B4-BE49-F238E27FC236}">
                <a16:creationId xmlns:a16="http://schemas.microsoft.com/office/drawing/2014/main" id="{F33D6869-3364-87EF-4B80-10837F52084D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2" name="pos3_seg2">
            <a:extLst>
              <a:ext uri="{FF2B5EF4-FFF2-40B4-BE49-F238E27FC236}">
                <a16:creationId xmlns:a16="http://schemas.microsoft.com/office/drawing/2014/main" id="{F9449786-B659-6B53-01B2-8A2347121249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3" name="pos3_seg1">
            <a:extLst>
              <a:ext uri="{FF2B5EF4-FFF2-40B4-BE49-F238E27FC236}">
                <a16:creationId xmlns:a16="http://schemas.microsoft.com/office/drawing/2014/main" id="{E89E86F0-D219-F5DE-716D-820C5E8D1510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4" name="pos3_seg16">
            <a:extLst>
              <a:ext uri="{FF2B5EF4-FFF2-40B4-BE49-F238E27FC236}">
                <a16:creationId xmlns:a16="http://schemas.microsoft.com/office/drawing/2014/main" id="{0C021F13-F43C-CCC3-0F59-DCA347208090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5" name="pos3_seg9">
            <a:extLst>
              <a:ext uri="{FF2B5EF4-FFF2-40B4-BE49-F238E27FC236}">
                <a16:creationId xmlns:a16="http://schemas.microsoft.com/office/drawing/2014/main" id="{46E8FACC-2908-D895-5732-D40ADE38427A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6" name="pos3_seg19">
            <a:extLst>
              <a:ext uri="{FF2B5EF4-FFF2-40B4-BE49-F238E27FC236}">
                <a16:creationId xmlns:a16="http://schemas.microsoft.com/office/drawing/2014/main" id="{48EA0BA3-305B-1621-A211-5366CE19FFEC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7" name="pos3_seg8">
            <a:extLst>
              <a:ext uri="{FF2B5EF4-FFF2-40B4-BE49-F238E27FC236}">
                <a16:creationId xmlns:a16="http://schemas.microsoft.com/office/drawing/2014/main" id="{E0885098-29CC-9F5E-E239-491111C5413E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8" name="pos3_seg10">
            <a:extLst>
              <a:ext uri="{FF2B5EF4-FFF2-40B4-BE49-F238E27FC236}">
                <a16:creationId xmlns:a16="http://schemas.microsoft.com/office/drawing/2014/main" id="{C917AD33-3A41-6A3B-56C8-08228F6CA83B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89" name="pos3_seg18">
            <a:extLst>
              <a:ext uri="{FF2B5EF4-FFF2-40B4-BE49-F238E27FC236}">
                <a16:creationId xmlns:a16="http://schemas.microsoft.com/office/drawing/2014/main" id="{DCEED09D-43AA-19F6-E7F9-5EA164B47D67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0" name="pos3_seg17">
            <a:extLst>
              <a:ext uri="{FF2B5EF4-FFF2-40B4-BE49-F238E27FC236}">
                <a16:creationId xmlns:a16="http://schemas.microsoft.com/office/drawing/2014/main" id="{D20AC88A-2FD2-E120-6A2B-208D105026D6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21</xdr:col>
      <xdr:colOff>1533</xdr:colOff>
      <xdr:row>5</xdr:row>
      <xdr:rowOff>174078</xdr:rowOff>
    </xdr:from>
    <xdr:to>
      <xdr:col>23</xdr:col>
      <xdr:colOff>169372</xdr:colOff>
      <xdr:row>14</xdr:row>
      <xdr:rowOff>98980</xdr:rowOff>
    </xdr:to>
    <xdr:grpSp>
      <xdr:nvGrpSpPr>
        <xdr:cNvPr id="91" name="character 4">
          <a:extLst>
            <a:ext uri="{FF2B5EF4-FFF2-40B4-BE49-F238E27FC236}">
              <a16:creationId xmlns:a16="http://schemas.microsoft.com/office/drawing/2014/main" id="{641A9859-1EA3-4D5B-8D52-1FAF93353788}"/>
            </a:ext>
          </a:extLst>
        </xdr:cNvPr>
        <xdr:cNvGrpSpPr/>
      </xdr:nvGrpSpPr>
      <xdr:grpSpPr>
        <a:xfrm>
          <a:off x="10517133" y="1126578"/>
          <a:ext cx="1101289" cy="1639402"/>
          <a:chOff x="6705600" y="1524000"/>
          <a:chExt cx="1113442" cy="1599989"/>
        </a:xfrm>
      </xdr:grpSpPr>
      <xdr:sp macro="[0]!show_clicked_shape_name" textlink="">
        <xdr:nvSpPr>
          <xdr:cNvPr id="92" name="pos4_seg0">
            <a:extLst>
              <a:ext uri="{FF2B5EF4-FFF2-40B4-BE49-F238E27FC236}">
                <a16:creationId xmlns:a16="http://schemas.microsoft.com/office/drawing/2014/main" id="{54AD8709-F6C3-699B-E4AD-60BB5C20B840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3" name="pos4_seg3">
            <a:extLst>
              <a:ext uri="{FF2B5EF4-FFF2-40B4-BE49-F238E27FC236}">
                <a16:creationId xmlns:a16="http://schemas.microsoft.com/office/drawing/2014/main" id="{3ABDFE4F-376D-6F6C-310E-2632260850B6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4" name="pos4_seg6">
            <a:extLst>
              <a:ext uri="{FF2B5EF4-FFF2-40B4-BE49-F238E27FC236}">
                <a16:creationId xmlns:a16="http://schemas.microsoft.com/office/drawing/2014/main" id="{E053EECF-B8A6-8CF8-E0A6-226AABE9E854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5" name="pos4_seg12">
            <a:extLst>
              <a:ext uri="{FF2B5EF4-FFF2-40B4-BE49-F238E27FC236}">
                <a16:creationId xmlns:a16="http://schemas.microsoft.com/office/drawing/2014/main" id="{1EC51DB6-D138-17D6-7F60-FD6863C95C9F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6" name="pos4_seg13">
            <a:extLst>
              <a:ext uri="{FF2B5EF4-FFF2-40B4-BE49-F238E27FC236}">
                <a16:creationId xmlns:a16="http://schemas.microsoft.com/office/drawing/2014/main" id="{94CA4F23-5FE5-AE52-5791-56ED76C42471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7" name="pos4_seg5">
            <a:extLst>
              <a:ext uri="{FF2B5EF4-FFF2-40B4-BE49-F238E27FC236}">
                <a16:creationId xmlns:a16="http://schemas.microsoft.com/office/drawing/2014/main" id="{74614938-A5D6-82AC-CC7A-021854932E21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8" name="pos4_seg4">
            <a:extLst>
              <a:ext uri="{FF2B5EF4-FFF2-40B4-BE49-F238E27FC236}">
                <a16:creationId xmlns:a16="http://schemas.microsoft.com/office/drawing/2014/main" id="{5FDDE4C4-8675-E69B-6EF7-E8230861E325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99" name="pos4_seg14">
            <a:extLst>
              <a:ext uri="{FF2B5EF4-FFF2-40B4-BE49-F238E27FC236}">
                <a16:creationId xmlns:a16="http://schemas.microsoft.com/office/drawing/2014/main" id="{70C3E059-5704-6E42-1F96-EBD37E4001F9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0" name="pos4_seg7">
            <a:extLst>
              <a:ext uri="{FF2B5EF4-FFF2-40B4-BE49-F238E27FC236}">
                <a16:creationId xmlns:a16="http://schemas.microsoft.com/office/drawing/2014/main" id="{495D9BA7-92E5-04D5-709C-AB6B14F8301B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1" name="pos4_seg11">
            <a:extLst>
              <a:ext uri="{FF2B5EF4-FFF2-40B4-BE49-F238E27FC236}">
                <a16:creationId xmlns:a16="http://schemas.microsoft.com/office/drawing/2014/main" id="{3277D00A-9CB4-68A1-F51E-B1DB1D11E928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2" name="pos4_seg15">
            <a:extLst>
              <a:ext uri="{FF2B5EF4-FFF2-40B4-BE49-F238E27FC236}">
                <a16:creationId xmlns:a16="http://schemas.microsoft.com/office/drawing/2014/main" id="{A80B1C21-7C9F-02CD-542E-E9447136AED8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3" name="pos4_seg2">
            <a:extLst>
              <a:ext uri="{FF2B5EF4-FFF2-40B4-BE49-F238E27FC236}">
                <a16:creationId xmlns:a16="http://schemas.microsoft.com/office/drawing/2014/main" id="{766929C3-138F-16F9-24B7-4043CCFEA634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4" name="pos4_seg1">
            <a:extLst>
              <a:ext uri="{FF2B5EF4-FFF2-40B4-BE49-F238E27FC236}">
                <a16:creationId xmlns:a16="http://schemas.microsoft.com/office/drawing/2014/main" id="{C493B4F0-1AA8-D4ED-9C43-AE16C04B5576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5" name="pos4_seg16">
            <a:extLst>
              <a:ext uri="{FF2B5EF4-FFF2-40B4-BE49-F238E27FC236}">
                <a16:creationId xmlns:a16="http://schemas.microsoft.com/office/drawing/2014/main" id="{7FD61B27-54EF-D6E4-6690-E88ED3856891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6" name="pos4_seg9">
            <a:extLst>
              <a:ext uri="{FF2B5EF4-FFF2-40B4-BE49-F238E27FC236}">
                <a16:creationId xmlns:a16="http://schemas.microsoft.com/office/drawing/2014/main" id="{57C05735-A74A-B862-ABA3-42B12A08796F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7" name="pos4_seg19">
            <a:extLst>
              <a:ext uri="{FF2B5EF4-FFF2-40B4-BE49-F238E27FC236}">
                <a16:creationId xmlns:a16="http://schemas.microsoft.com/office/drawing/2014/main" id="{FF3BA772-4CE8-D0FF-4C3C-6F48649DB219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8" name="pos4_seg8">
            <a:extLst>
              <a:ext uri="{FF2B5EF4-FFF2-40B4-BE49-F238E27FC236}">
                <a16:creationId xmlns:a16="http://schemas.microsoft.com/office/drawing/2014/main" id="{2EAFA8DF-A698-FC04-9F14-82710DA30663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09" name="pos4_seg10">
            <a:extLst>
              <a:ext uri="{FF2B5EF4-FFF2-40B4-BE49-F238E27FC236}">
                <a16:creationId xmlns:a16="http://schemas.microsoft.com/office/drawing/2014/main" id="{1CE946D7-173B-CEAC-D0BB-00B08E280979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0" name="pos4_seg18">
            <a:extLst>
              <a:ext uri="{FF2B5EF4-FFF2-40B4-BE49-F238E27FC236}">
                <a16:creationId xmlns:a16="http://schemas.microsoft.com/office/drawing/2014/main" id="{17DD2F70-BCDC-5AE2-9EAC-B5C12CF9769E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1" name="pos4_seg17">
            <a:extLst>
              <a:ext uri="{FF2B5EF4-FFF2-40B4-BE49-F238E27FC236}">
                <a16:creationId xmlns:a16="http://schemas.microsoft.com/office/drawing/2014/main" id="{8A18F749-F4B4-1A81-A07B-6641920A2721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23</xdr:col>
      <xdr:colOff>411326</xdr:colOff>
      <xdr:row>6</xdr:row>
      <xdr:rowOff>10948</xdr:rowOff>
    </xdr:from>
    <xdr:to>
      <xdr:col>26</xdr:col>
      <xdr:colOff>112441</xdr:colOff>
      <xdr:row>14</xdr:row>
      <xdr:rowOff>121971</xdr:rowOff>
    </xdr:to>
    <xdr:grpSp>
      <xdr:nvGrpSpPr>
        <xdr:cNvPr id="112" name="character 5">
          <a:extLst>
            <a:ext uri="{FF2B5EF4-FFF2-40B4-BE49-F238E27FC236}">
              <a16:creationId xmlns:a16="http://schemas.microsoft.com/office/drawing/2014/main" id="{C0A66817-EC41-4010-ADB7-F8456672BFE9}"/>
            </a:ext>
          </a:extLst>
        </xdr:cNvPr>
        <xdr:cNvGrpSpPr/>
      </xdr:nvGrpSpPr>
      <xdr:grpSpPr>
        <a:xfrm>
          <a:off x="11860376" y="1153948"/>
          <a:ext cx="1101290" cy="1635023"/>
          <a:chOff x="6705600" y="1524000"/>
          <a:chExt cx="1113442" cy="1599989"/>
        </a:xfrm>
      </xdr:grpSpPr>
      <xdr:sp macro="[0]!show_clicked_shape_name" textlink="">
        <xdr:nvSpPr>
          <xdr:cNvPr id="113" name="pos5_seg0">
            <a:extLst>
              <a:ext uri="{FF2B5EF4-FFF2-40B4-BE49-F238E27FC236}">
                <a16:creationId xmlns:a16="http://schemas.microsoft.com/office/drawing/2014/main" id="{CF06F7C2-089C-08B1-F820-2350599AE035}"/>
              </a:ext>
            </a:extLst>
          </xdr:cNvPr>
          <xdr:cNvSpPr>
            <a:spLocks/>
          </xdr:cNvSpPr>
        </xdr:nvSpPr>
        <xdr:spPr bwMode="auto">
          <a:xfrm>
            <a:off x="6833160" y="1524000"/>
            <a:ext cx="162539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4" name="pos5_seg3">
            <a:extLst>
              <a:ext uri="{FF2B5EF4-FFF2-40B4-BE49-F238E27FC236}">
                <a16:creationId xmlns:a16="http://schemas.microsoft.com/office/drawing/2014/main" id="{53FE77B5-88B4-A3D1-2EC0-6709B0AF932C}"/>
              </a:ext>
            </a:extLst>
          </xdr:cNvPr>
          <xdr:cNvSpPr>
            <a:spLocks/>
          </xdr:cNvSpPr>
        </xdr:nvSpPr>
        <xdr:spPr bwMode="auto">
          <a:xfrm>
            <a:off x="6787155" y="1734716"/>
            <a:ext cx="183451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5" name="pos5_seg6">
            <a:extLst>
              <a:ext uri="{FF2B5EF4-FFF2-40B4-BE49-F238E27FC236}">
                <a16:creationId xmlns:a16="http://schemas.microsoft.com/office/drawing/2014/main" id="{054D66CE-5941-590C-B3F1-E5E6BB4C5984}"/>
              </a:ext>
            </a:extLst>
          </xdr:cNvPr>
          <xdr:cNvSpPr>
            <a:spLocks/>
          </xdr:cNvSpPr>
        </xdr:nvSpPr>
        <xdr:spPr bwMode="auto">
          <a:xfrm>
            <a:off x="7404995" y="1734716"/>
            <a:ext cx="192386" cy="467437"/>
          </a:xfrm>
          <a:custGeom>
            <a:avLst/>
            <a:gdLst>
              <a:gd name="T0" fmla="*/ 97 w 134"/>
              <a:gd name="T1" fmla="*/ 304 h 320"/>
              <a:gd name="T2" fmla="*/ 79 w 134"/>
              <a:gd name="T3" fmla="*/ 320 h 320"/>
              <a:gd name="T4" fmla="*/ 15 w 134"/>
              <a:gd name="T5" fmla="*/ 320 h 320"/>
              <a:gd name="T6" fmla="*/ 1 w 134"/>
              <a:gd name="T7" fmla="*/ 304 h 320"/>
              <a:gd name="T8" fmla="*/ 37 w 134"/>
              <a:gd name="T9" fmla="*/ 16 h 320"/>
              <a:gd name="T10" fmla="*/ 55 w 134"/>
              <a:gd name="T11" fmla="*/ 0 h 320"/>
              <a:gd name="T12" fmla="*/ 119 w 134"/>
              <a:gd name="T13" fmla="*/ 0 h 320"/>
              <a:gd name="T14" fmla="*/ 133 w 134"/>
              <a:gd name="T15" fmla="*/ 16 h 320"/>
              <a:gd name="T16" fmla="*/ 97 w 13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34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37" y="16"/>
                  <a:pt x="37" y="16"/>
                  <a:pt x="37" y="16"/>
                </a:cubicBezTo>
                <a:cubicBezTo>
                  <a:pt x="38" y="7"/>
                  <a:pt x="46" y="0"/>
                  <a:pt x="55" y="0"/>
                </a:cubicBezTo>
                <a:cubicBezTo>
                  <a:pt x="119" y="0"/>
                  <a:pt x="119" y="0"/>
                  <a:pt x="119" y="0"/>
                </a:cubicBezTo>
                <a:cubicBezTo>
                  <a:pt x="128" y="0"/>
                  <a:pt x="134" y="7"/>
                  <a:pt x="133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6" name="pos5_seg12">
            <a:extLst>
              <a:ext uri="{FF2B5EF4-FFF2-40B4-BE49-F238E27FC236}">
                <a16:creationId xmlns:a16="http://schemas.microsoft.com/office/drawing/2014/main" id="{7D546A70-013F-6B29-D80F-2C65AD66B55A}"/>
              </a:ext>
            </a:extLst>
          </xdr:cNvPr>
          <xdr:cNvSpPr>
            <a:spLocks/>
          </xdr:cNvSpPr>
        </xdr:nvSpPr>
        <xdr:spPr bwMode="auto">
          <a:xfrm>
            <a:off x="6939239" y="2446326"/>
            <a:ext cx="204933" cy="466947"/>
          </a:xfrm>
          <a:custGeom>
            <a:avLst/>
            <a:gdLst>
              <a:gd name="T0" fmla="*/ 97 w 142"/>
              <a:gd name="T1" fmla="*/ 304 h 320"/>
              <a:gd name="T2" fmla="*/ 79 w 142"/>
              <a:gd name="T3" fmla="*/ 320 h 320"/>
              <a:gd name="T4" fmla="*/ 15 w 142"/>
              <a:gd name="T5" fmla="*/ 320 h 320"/>
              <a:gd name="T6" fmla="*/ 1 w 142"/>
              <a:gd name="T7" fmla="*/ 304 h 320"/>
              <a:gd name="T8" fmla="*/ 45 w 142"/>
              <a:gd name="T9" fmla="*/ 16 h 320"/>
              <a:gd name="T10" fmla="*/ 63 w 142"/>
              <a:gd name="T11" fmla="*/ 0 h 320"/>
              <a:gd name="T12" fmla="*/ 127 w 142"/>
              <a:gd name="T13" fmla="*/ 0 h 320"/>
              <a:gd name="T14" fmla="*/ 141 w 142"/>
              <a:gd name="T15" fmla="*/ 16 h 320"/>
              <a:gd name="T16" fmla="*/ 97 w 14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2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45" y="16"/>
                  <a:pt x="45" y="16"/>
                  <a:pt x="45" y="16"/>
                </a:cubicBezTo>
                <a:cubicBezTo>
                  <a:pt x="46" y="7"/>
                  <a:pt x="54" y="0"/>
                  <a:pt x="63" y="0"/>
                </a:cubicBezTo>
                <a:cubicBezTo>
                  <a:pt x="127" y="0"/>
                  <a:pt x="127" y="0"/>
                  <a:pt x="127" y="0"/>
                </a:cubicBezTo>
                <a:cubicBezTo>
                  <a:pt x="136" y="0"/>
                  <a:pt x="142" y="7"/>
                  <a:pt x="14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7" name="pos5_seg13">
            <a:extLst>
              <a:ext uri="{FF2B5EF4-FFF2-40B4-BE49-F238E27FC236}">
                <a16:creationId xmlns:a16="http://schemas.microsoft.com/office/drawing/2014/main" id="{B3538EF4-E134-4D71-1D82-58E780871051}"/>
              </a:ext>
            </a:extLst>
          </xdr:cNvPr>
          <xdr:cNvSpPr>
            <a:spLocks/>
          </xdr:cNvSpPr>
        </xdr:nvSpPr>
        <xdr:spPr bwMode="auto">
          <a:xfrm>
            <a:off x="7135807" y="2446326"/>
            <a:ext cx="181930" cy="466947"/>
          </a:xfrm>
          <a:custGeom>
            <a:avLst/>
            <a:gdLst>
              <a:gd name="T0" fmla="*/ 97 w 126"/>
              <a:gd name="T1" fmla="*/ 304 h 320"/>
              <a:gd name="T2" fmla="*/ 79 w 126"/>
              <a:gd name="T3" fmla="*/ 320 h 320"/>
              <a:gd name="T4" fmla="*/ 15 w 126"/>
              <a:gd name="T5" fmla="*/ 320 h 320"/>
              <a:gd name="T6" fmla="*/ 1 w 126"/>
              <a:gd name="T7" fmla="*/ 304 h 320"/>
              <a:gd name="T8" fmla="*/ 29 w 126"/>
              <a:gd name="T9" fmla="*/ 16 h 320"/>
              <a:gd name="T10" fmla="*/ 47 w 126"/>
              <a:gd name="T11" fmla="*/ 0 h 320"/>
              <a:gd name="T12" fmla="*/ 111 w 126"/>
              <a:gd name="T13" fmla="*/ 0 h 320"/>
              <a:gd name="T14" fmla="*/ 125 w 126"/>
              <a:gd name="T15" fmla="*/ 16 h 320"/>
              <a:gd name="T16" fmla="*/ 97 w 126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20">
                <a:moveTo>
                  <a:pt x="97" y="304"/>
                </a:moveTo>
                <a:cubicBezTo>
                  <a:pt x="96" y="313"/>
                  <a:pt x="88" y="320"/>
                  <a:pt x="79" y="320"/>
                </a:cubicBezTo>
                <a:cubicBezTo>
                  <a:pt x="15" y="320"/>
                  <a:pt x="15" y="320"/>
                  <a:pt x="15" y="320"/>
                </a:cubicBezTo>
                <a:cubicBezTo>
                  <a:pt x="6" y="320"/>
                  <a:pt x="0" y="313"/>
                  <a:pt x="1" y="304"/>
                </a:cubicBezTo>
                <a:cubicBezTo>
                  <a:pt x="29" y="16"/>
                  <a:pt x="29" y="16"/>
                  <a:pt x="29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5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8" name="pos5_seg5">
            <a:extLst>
              <a:ext uri="{FF2B5EF4-FFF2-40B4-BE49-F238E27FC236}">
                <a16:creationId xmlns:a16="http://schemas.microsoft.com/office/drawing/2014/main" id="{563E2647-F5D2-1B04-BB6F-513D70E92401}"/>
              </a:ext>
            </a:extLst>
          </xdr:cNvPr>
          <xdr:cNvSpPr>
            <a:spLocks/>
          </xdr:cNvSpPr>
        </xdr:nvSpPr>
        <xdr:spPr bwMode="auto">
          <a:xfrm>
            <a:off x="7215270" y="1734716"/>
            <a:ext cx="163110" cy="467437"/>
          </a:xfrm>
          <a:custGeom>
            <a:avLst/>
            <a:gdLst>
              <a:gd name="T0" fmla="*/ 97 w 112"/>
              <a:gd name="T1" fmla="*/ 304 h 320"/>
              <a:gd name="T2" fmla="*/ 80 w 112"/>
              <a:gd name="T3" fmla="*/ 320 h 320"/>
              <a:gd name="T4" fmla="*/ 16 w 112"/>
              <a:gd name="T5" fmla="*/ 320 h 320"/>
              <a:gd name="T6" fmla="*/ 1 w 112"/>
              <a:gd name="T7" fmla="*/ 304 h 320"/>
              <a:gd name="T8" fmla="*/ 15 w 112"/>
              <a:gd name="T9" fmla="*/ 16 h 320"/>
              <a:gd name="T10" fmla="*/ 32 w 112"/>
              <a:gd name="T11" fmla="*/ 0 h 320"/>
              <a:gd name="T12" fmla="*/ 96 w 112"/>
              <a:gd name="T13" fmla="*/ 0 h 320"/>
              <a:gd name="T14" fmla="*/ 111 w 112"/>
              <a:gd name="T15" fmla="*/ 16 h 320"/>
              <a:gd name="T16" fmla="*/ 97 w 112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320">
                <a:moveTo>
                  <a:pt x="97" y="304"/>
                </a:moveTo>
                <a:cubicBezTo>
                  <a:pt x="96" y="313"/>
                  <a:pt x="89" y="320"/>
                  <a:pt x="80" y="320"/>
                </a:cubicBezTo>
                <a:cubicBezTo>
                  <a:pt x="16" y="320"/>
                  <a:pt x="16" y="320"/>
                  <a:pt x="16" y="320"/>
                </a:cubicBezTo>
                <a:cubicBezTo>
                  <a:pt x="7" y="320"/>
                  <a:pt x="0" y="313"/>
                  <a:pt x="1" y="304"/>
                </a:cubicBezTo>
                <a:cubicBezTo>
                  <a:pt x="15" y="16"/>
                  <a:pt x="15" y="16"/>
                  <a:pt x="15" y="16"/>
                </a:cubicBezTo>
                <a:cubicBezTo>
                  <a:pt x="16" y="7"/>
                  <a:pt x="23" y="0"/>
                  <a:pt x="32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1" y="16"/>
                </a:cubicBezTo>
                <a:lnTo>
                  <a:pt x="97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19" name="pos5_seg4">
            <a:extLst>
              <a:ext uri="{FF2B5EF4-FFF2-40B4-BE49-F238E27FC236}">
                <a16:creationId xmlns:a16="http://schemas.microsoft.com/office/drawing/2014/main" id="{C2C47746-5E6E-1E7F-0074-0BCE73468F43}"/>
              </a:ext>
            </a:extLst>
          </xdr:cNvPr>
          <xdr:cNvSpPr>
            <a:spLocks/>
          </xdr:cNvSpPr>
        </xdr:nvSpPr>
        <xdr:spPr bwMode="auto">
          <a:xfrm>
            <a:off x="7018703" y="1734716"/>
            <a:ext cx="150563" cy="46743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0" name="pos5_seg14">
            <a:extLst>
              <a:ext uri="{FF2B5EF4-FFF2-40B4-BE49-F238E27FC236}">
                <a16:creationId xmlns:a16="http://schemas.microsoft.com/office/drawing/2014/main" id="{39B8F9D8-2FA3-CB7E-DFB7-A3AE6E4720A5}"/>
              </a:ext>
            </a:extLst>
          </xdr:cNvPr>
          <xdr:cNvSpPr>
            <a:spLocks/>
          </xdr:cNvSpPr>
        </xdr:nvSpPr>
        <xdr:spPr bwMode="auto">
          <a:xfrm>
            <a:off x="7355377" y="2446326"/>
            <a:ext cx="152084" cy="466947"/>
          </a:xfrm>
          <a:custGeom>
            <a:avLst/>
            <a:gdLst>
              <a:gd name="T0" fmla="*/ 8 w 104"/>
              <a:gd name="T1" fmla="*/ 304 h 320"/>
              <a:gd name="T2" fmla="*/ 24 w 104"/>
              <a:gd name="T3" fmla="*/ 320 h 320"/>
              <a:gd name="T4" fmla="*/ 88 w 104"/>
              <a:gd name="T5" fmla="*/ 320 h 320"/>
              <a:gd name="T6" fmla="*/ 104 w 104"/>
              <a:gd name="T7" fmla="*/ 304 h 320"/>
              <a:gd name="T8" fmla="*/ 96 w 104"/>
              <a:gd name="T9" fmla="*/ 16 h 320"/>
              <a:gd name="T10" fmla="*/ 80 w 104"/>
              <a:gd name="T11" fmla="*/ 0 h 320"/>
              <a:gd name="T12" fmla="*/ 16 w 104"/>
              <a:gd name="T13" fmla="*/ 0 h 320"/>
              <a:gd name="T14" fmla="*/ 0 w 104"/>
              <a:gd name="T15" fmla="*/ 16 h 320"/>
              <a:gd name="T16" fmla="*/ 8 w 104"/>
              <a:gd name="T17" fmla="*/ 304 h 3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4" h="320">
                <a:moveTo>
                  <a:pt x="8" y="304"/>
                </a:moveTo>
                <a:cubicBezTo>
                  <a:pt x="8" y="313"/>
                  <a:pt x="15" y="320"/>
                  <a:pt x="24" y="320"/>
                </a:cubicBezTo>
                <a:cubicBezTo>
                  <a:pt x="88" y="320"/>
                  <a:pt x="88" y="320"/>
                  <a:pt x="88" y="320"/>
                </a:cubicBezTo>
                <a:cubicBezTo>
                  <a:pt x="97" y="320"/>
                  <a:pt x="104" y="313"/>
                  <a:pt x="104" y="304"/>
                </a:cubicBezTo>
                <a:cubicBezTo>
                  <a:pt x="96" y="16"/>
                  <a:pt x="96" y="16"/>
                  <a:pt x="96" y="16"/>
                </a:cubicBezTo>
                <a:cubicBezTo>
                  <a:pt x="96" y="7"/>
                  <a:pt x="89" y="0"/>
                  <a:pt x="80" y="0"/>
                </a:cubicBezTo>
                <a:cubicBezTo>
                  <a:pt x="16" y="0"/>
                  <a:pt x="16" y="0"/>
                  <a:pt x="16" y="0"/>
                </a:cubicBezTo>
                <a:cubicBezTo>
                  <a:pt x="7" y="0"/>
                  <a:pt x="0" y="7"/>
                  <a:pt x="0" y="16"/>
                </a:cubicBezTo>
                <a:lnTo>
                  <a:pt x="8" y="304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1" name="pos5_seg7">
            <a:extLst>
              <a:ext uri="{FF2B5EF4-FFF2-40B4-BE49-F238E27FC236}">
                <a16:creationId xmlns:a16="http://schemas.microsoft.com/office/drawing/2014/main" id="{7FCB60E1-F001-CD86-85B6-E5345E6B7552}"/>
              </a:ext>
            </a:extLst>
          </xdr:cNvPr>
          <xdr:cNvSpPr>
            <a:spLocks/>
          </xdr:cNvSpPr>
        </xdr:nvSpPr>
        <xdr:spPr bwMode="auto">
          <a:xfrm>
            <a:off x="7612019" y="1734716"/>
            <a:ext cx="181930" cy="500895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2" name="pos5_seg11">
            <a:extLst>
              <a:ext uri="{FF2B5EF4-FFF2-40B4-BE49-F238E27FC236}">
                <a16:creationId xmlns:a16="http://schemas.microsoft.com/office/drawing/2014/main" id="{4D0A5CD3-37E3-2D98-9F1C-282AEDBD1732}"/>
              </a:ext>
            </a:extLst>
          </xdr:cNvPr>
          <xdr:cNvSpPr>
            <a:spLocks/>
          </xdr:cNvSpPr>
        </xdr:nvSpPr>
        <xdr:spPr bwMode="auto">
          <a:xfrm>
            <a:off x="6730694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3" name="pos5_seg15">
            <a:extLst>
              <a:ext uri="{FF2B5EF4-FFF2-40B4-BE49-F238E27FC236}">
                <a16:creationId xmlns:a16="http://schemas.microsoft.com/office/drawing/2014/main" id="{7E0B4612-CBFA-32DE-D059-9C9C54E7308F}"/>
              </a:ext>
            </a:extLst>
          </xdr:cNvPr>
          <xdr:cNvSpPr>
            <a:spLocks/>
          </xdr:cNvSpPr>
        </xdr:nvSpPr>
        <xdr:spPr bwMode="auto">
          <a:xfrm>
            <a:off x="7566013" y="2410777"/>
            <a:ext cx="181930" cy="502496"/>
          </a:xfrm>
          <a:custGeom>
            <a:avLst/>
            <a:gdLst>
              <a:gd name="T0" fmla="*/ 96 w 126"/>
              <a:gd name="T1" fmla="*/ 328 h 344"/>
              <a:gd name="T2" fmla="*/ 79 w 126"/>
              <a:gd name="T3" fmla="*/ 344 h 344"/>
              <a:gd name="T4" fmla="*/ 15 w 126"/>
              <a:gd name="T5" fmla="*/ 344 h 344"/>
              <a:gd name="T6" fmla="*/ 0 w 126"/>
              <a:gd name="T7" fmla="*/ 328 h 344"/>
              <a:gd name="T8" fmla="*/ 30 w 126"/>
              <a:gd name="T9" fmla="*/ 16 h 344"/>
              <a:gd name="T10" fmla="*/ 47 w 126"/>
              <a:gd name="T11" fmla="*/ 0 h 344"/>
              <a:gd name="T12" fmla="*/ 111 w 126"/>
              <a:gd name="T13" fmla="*/ 0 h 344"/>
              <a:gd name="T14" fmla="*/ 126 w 126"/>
              <a:gd name="T15" fmla="*/ 16 h 344"/>
              <a:gd name="T16" fmla="*/ 96 w 126"/>
              <a:gd name="T17" fmla="*/ 328 h 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26" h="344">
                <a:moveTo>
                  <a:pt x="96" y="328"/>
                </a:moveTo>
                <a:cubicBezTo>
                  <a:pt x="96" y="337"/>
                  <a:pt x="88" y="344"/>
                  <a:pt x="79" y="344"/>
                </a:cubicBezTo>
                <a:cubicBezTo>
                  <a:pt x="15" y="344"/>
                  <a:pt x="15" y="344"/>
                  <a:pt x="15" y="344"/>
                </a:cubicBezTo>
                <a:cubicBezTo>
                  <a:pt x="6" y="344"/>
                  <a:pt x="0" y="337"/>
                  <a:pt x="0" y="328"/>
                </a:cubicBezTo>
                <a:cubicBezTo>
                  <a:pt x="30" y="16"/>
                  <a:pt x="30" y="16"/>
                  <a:pt x="30" y="16"/>
                </a:cubicBezTo>
                <a:cubicBezTo>
                  <a:pt x="30" y="7"/>
                  <a:pt x="38" y="0"/>
                  <a:pt x="4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20" y="0"/>
                  <a:pt x="126" y="7"/>
                  <a:pt x="126" y="16"/>
                </a:cubicBezTo>
                <a:lnTo>
                  <a:pt x="96" y="328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4" name="pos5_seg2">
            <a:extLst>
              <a:ext uri="{FF2B5EF4-FFF2-40B4-BE49-F238E27FC236}">
                <a16:creationId xmlns:a16="http://schemas.microsoft.com/office/drawing/2014/main" id="{FAB41BAD-4050-074E-6B5C-89813EC4B646}"/>
              </a:ext>
            </a:extLst>
          </xdr:cNvPr>
          <xdr:cNvSpPr>
            <a:spLocks/>
          </xdr:cNvSpPr>
        </xdr:nvSpPr>
        <xdr:spPr bwMode="auto">
          <a:xfrm>
            <a:off x="7658024" y="1524000"/>
            <a:ext cx="161018" cy="163110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5" name="pos5_seg1">
            <a:extLst>
              <a:ext uri="{FF2B5EF4-FFF2-40B4-BE49-F238E27FC236}">
                <a16:creationId xmlns:a16="http://schemas.microsoft.com/office/drawing/2014/main" id="{E2B79DB5-A1CE-6EB0-4EC6-41CA2C6A18AC}"/>
              </a:ext>
            </a:extLst>
          </xdr:cNvPr>
          <xdr:cNvSpPr>
            <a:spLocks/>
          </xdr:cNvSpPr>
        </xdr:nvSpPr>
        <xdr:spPr bwMode="auto">
          <a:xfrm>
            <a:off x="7018703" y="1524000"/>
            <a:ext cx="616319" cy="163110"/>
          </a:xfrm>
          <a:custGeom>
            <a:avLst/>
            <a:gdLst>
              <a:gd name="T0" fmla="*/ 424 w 424"/>
              <a:gd name="T1" fmla="*/ 96 h 112"/>
              <a:gd name="T2" fmla="*/ 408 w 424"/>
              <a:gd name="T3" fmla="*/ 112 h 112"/>
              <a:gd name="T4" fmla="*/ 16 w 424"/>
              <a:gd name="T5" fmla="*/ 112 h 112"/>
              <a:gd name="T6" fmla="*/ 0 w 424"/>
              <a:gd name="T7" fmla="*/ 96 h 112"/>
              <a:gd name="T8" fmla="*/ 0 w 424"/>
              <a:gd name="T9" fmla="*/ 16 h 112"/>
              <a:gd name="T10" fmla="*/ 16 w 424"/>
              <a:gd name="T11" fmla="*/ 0 h 112"/>
              <a:gd name="T12" fmla="*/ 408 w 424"/>
              <a:gd name="T13" fmla="*/ 0 h 112"/>
              <a:gd name="T14" fmla="*/ 424 w 424"/>
              <a:gd name="T15" fmla="*/ 16 h 112"/>
              <a:gd name="T16" fmla="*/ 424 w 424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24" h="112">
                <a:moveTo>
                  <a:pt x="424" y="96"/>
                </a:moveTo>
                <a:cubicBezTo>
                  <a:pt x="424" y="105"/>
                  <a:pt x="417" y="112"/>
                  <a:pt x="408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408" y="0"/>
                  <a:pt x="408" y="0"/>
                  <a:pt x="408" y="0"/>
                </a:cubicBezTo>
                <a:cubicBezTo>
                  <a:pt x="417" y="0"/>
                  <a:pt x="424" y="7"/>
                  <a:pt x="424" y="16"/>
                </a:cubicBezTo>
                <a:lnTo>
                  <a:pt x="424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6" name="pos5_seg16">
            <a:extLst>
              <a:ext uri="{FF2B5EF4-FFF2-40B4-BE49-F238E27FC236}">
                <a16:creationId xmlns:a16="http://schemas.microsoft.com/office/drawing/2014/main" id="{272DBFCD-641D-9EF2-00AC-9A0E947FF263}"/>
              </a:ext>
            </a:extLst>
          </xdr:cNvPr>
          <xdr:cNvSpPr>
            <a:spLocks/>
          </xdr:cNvSpPr>
        </xdr:nvSpPr>
        <xdr:spPr bwMode="auto">
          <a:xfrm>
            <a:off x="6705600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7" name="pos5_seg9">
            <a:extLst>
              <a:ext uri="{FF2B5EF4-FFF2-40B4-BE49-F238E27FC236}">
                <a16:creationId xmlns:a16="http://schemas.microsoft.com/office/drawing/2014/main" id="{722F7C68-415E-0D7F-7279-D588C13CADA3}"/>
              </a:ext>
            </a:extLst>
          </xdr:cNvPr>
          <xdr:cNvSpPr>
            <a:spLocks/>
          </xdr:cNvSpPr>
        </xdr:nvSpPr>
        <xdr:spPr bwMode="auto">
          <a:xfrm>
            <a:off x="7181812" y="2248158"/>
            <a:ext cx="161018" cy="162618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8" name="pos5_seg19">
            <a:extLst>
              <a:ext uri="{FF2B5EF4-FFF2-40B4-BE49-F238E27FC236}">
                <a16:creationId xmlns:a16="http://schemas.microsoft.com/office/drawing/2014/main" id="{9935ADAA-5FA5-8A2B-061E-40636680F72D}"/>
              </a:ext>
            </a:extLst>
          </xdr:cNvPr>
          <xdr:cNvSpPr>
            <a:spLocks/>
          </xdr:cNvSpPr>
        </xdr:nvSpPr>
        <xdr:spPr bwMode="auto">
          <a:xfrm>
            <a:off x="7530464" y="2961370"/>
            <a:ext cx="161018" cy="162619"/>
          </a:xfrm>
          <a:custGeom>
            <a:avLst/>
            <a:gdLst>
              <a:gd name="T0" fmla="*/ 112 w 112"/>
              <a:gd name="T1" fmla="*/ 96 h 112"/>
              <a:gd name="T2" fmla="*/ 96 w 112"/>
              <a:gd name="T3" fmla="*/ 112 h 112"/>
              <a:gd name="T4" fmla="*/ 16 w 112"/>
              <a:gd name="T5" fmla="*/ 112 h 112"/>
              <a:gd name="T6" fmla="*/ 0 w 112"/>
              <a:gd name="T7" fmla="*/ 96 h 112"/>
              <a:gd name="T8" fmla="*/ 0 w 112"/>
              <a:gd name="T9" fmla="*/ 16 h 112"/>
              <a:gd name="T10" fmla="*/ 16 w 112"/>
              <a:gd name="T11" fmla="*/ 0 h 112"/>
              <a:gd name="T12" fmla="*/ 96 w 112"/>
              <a:gd name="T13" fmla="*/ 0 h 112"/>
              <a:gd name="T14" fmla="*/ 112 w 112"/>
              <a:gd name="T15" fmla="*/ 16 h 112"/>
              <a:gd name="T16" fmla="*/ 112 w 11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2" h="112">
                <a:moveTo>
                  <a:pt x="112" y="96"/>
                </a:moveTo>
                <a:cubicBezTo>
                  <a:pt x="112" y="105"/>
                  <a:pt x="105" y="112"/>
                  <a:pt x="9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96" y="0"/>
                  <a:pt x="96" y="0"/>
                  <a:pt x="96" y="0"/>
                </a:cubicBezTo>
                <a:cubicBezTo>
                  <a:pt x="105" y="0"/>
                  <a:pt x="112" y="7"/>
                  <a:pt x="112" y="16"/>
                </a:cubicBezTo>
                <a:lnTo>
                  <a:pt x="112" y="96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29" name="pos5_seg8">
            <a:extLst>
              <a:ext uri="{FF2B5EF4-FFF2-40B4-BE49-F238E27FC236}">
                <a16:creationId xmlns:a16="http://schemas.microsoft.com/office/drawing/2014/main" id="{A43A4B75-2E77-FE12-AA3F-285041D2F582}"/>
              </a:ext>
            </a:extLst>
          </xdr:cNvPr>
          <xdr:cNvSpPr>
            <a:spLocks/>
          </xdr:cNvSpPr>
        </xdr:nvSpPr>
        <xdr:spPr bwMode="auto">
          <a:xfrm>
            <a:off x="6939239" y="2248158"/>
            <a:ext cx="219571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0" name="pos5_seg10">
            <a:extLst>
              <a:ext uri="{FF2B5EF4-FFF2-40B4-BE49-F238E27FC236}">
                <a16:creationId xmlns:a16="http://schemas.microsoft.com/office/drawing/2014/main" id="{DD67C544-3C96-B20F-CFC7-EA7CC36E0B9C}"/>
              </a:ext>
            </a:extLst>
          </xdr:cNvPr>
          <xdr:cNvSpPr>
            <a:spLocks/>
          </xdr:cNvSpPr>
        </xdr:nvSpPr>
        <xdr:spPr bwMode="auto">
          <a:xfrm>
            <a:off x="7365833" y="2248158"/>
            <a:ext cx="221092" cy="162618"/>
          </a:xfrm>
          <a:custGeom>
            <a:avLst/>
            <a:gdLst>
              <a:gd name="T0" fmla="*/ 152 w 152"/>
              <a:gd name="T1" fmla="*/ 96 h 112"/>
              <a:gd name="T2" fmla="*/ 136 w 152"/>
              <a:gd name="T3" fmla="*/ 112 h 112"/>
              <a:gd name="T4" fmla="*/ 16 w 152"/>
              <a:gd name="T5" fmla="*/ 112 h 112"/>
              <a:gd name="T6" fmla="*/ 0 w 152"/>
              <a:gd name="T7" fmla="*/ 96 h 112"/>
              <a:gd name="T8" fmla="*/ 0 w 152"/>
              <a:gd name="T9" fmla="*/ 16 h 112"/>
              <a:gd name="T10" fmla="*/ 16 w 152"/>
              <a:gd name="T11" fmla="*/ 0 h 112"/>
              <a:gd name="T12" fmla="*/ 136 w 152"/>
              <a:gd name="T13" fmla="*/ 0 h 112"/>
              <a:gd name="T14" fmla="*/ 152 w 152"/>
              <a:gd name="T15" fmla="*/ 16 h 112"/>
              <a:gd name="T16" fmla="*/ 152 w 152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2" h="112">
                <a:moveTo>
                  <a:pt x="152" y="96"/>
                </a:moveTo>
                <a:cubicBezTo>
                  <a:pt x="152" y="105"/>
                  <a:pt x="145" y="112"/>
                  <a:pt x="136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136" y="0"/>
                  <a:pt x="136" y="0"/>
                  <a:pt x="136" y="0"/>
                </a:cubicBezTo>
                <a:cubicBezTo>
                  <a:pt x="145" y="0"/>
                  <a:pt x="152" y="7"/>
                  <a:pt x="152" y="16"/>
                </a:cubicBezTo>
                <a:lnTo>
                  <a:pt x="152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1" name="pos5_seg18">
            <a:extLst>
              <a:ext uri="{FF2B5EF4-FFF2-40B4-BE49-F238E27FC236}">
                <a16:creationId xmlns:a16="http://schemas.microsoft.com/office/drawing/2014/main" id="{837AF38B-DEAA-7C53-B117-07ACFC9A79C3}"/>
              </a:ext>
            </a:extLst>
          </xdr:cNvPr>
          <xdr:cNvSpPr>
            <a:spLocks/>
          </xdr:cNvSpPr>
        </xdr:nvSpPr>
        <xdr:spPr bwMode="auto">
          <a:xfrm>
            <a:off x="7135807" y="2961370"/>
            <a:ext cx="125469" cy="162619"/>
          </a:xfrm>
          <a:custGeom>
            <a:avLst/>
            <a:gdLst>
              <a:gd name="T0" fmla="*/ 88 w 88"/>
              <a:gd name="T1" fmla="*/ 96 h 112"/>
              <a:gd name="T2" fmla="*/ 72 w 88"/>
              <a:gd name="T3" fmla="*/ 112 h 112"/>
              <a:gd name="T4" fmla="*/ 16 w 88"/>
              <a:gd name="T5" fmla="*/ 112 h 112"/>
              <a:gd name="T6" fmla="*/ 0 w 88"/>
              <a:gd name="T7" fmla="*/ 96 h 112"/>
              <a:gd name="T8" fmla="*/ 0 w 88"/>
              <a:gd name="T9" fmla="*/ 16 h 112"/>
              <a:gd name="T10" fmla="*/ 16 w 88"/>
              <a:gd name="T11" fmla="*/ 0 h 112"/>
              <a:gd name="T12" fmla="*/ 72 w 88"/>
              <a:gd name="T13" fmla="*/ 0 h 112"/>
              <a:gd name="T14" fmla="*/ 88 w 88"/>
              <a:gd name="T15" fmla="*/ 16 h 112"/>
              <a:gd name="T16" fmla="*/ 88 w 88"/>
              <a:gd name="T17" fmla="*/ 96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8" h="112">
                <a:moveTo>
                  <a:pt x="88" y="96"/>
                </a:moveTo>
                <a:cubicBezTo>
                  <a:pt x="88" y="105"/>
                  <a:pt x="81" y="112"/>
                  <a:pt x="72" y="112"/>
                </a:cubicBezTo>
                <a:cubicBezTo>
                  <a:pt x="16" y="112"/>
                  <a:pt x="16" y="112"/>
                  <a:pt x="16" y="112"/>
                </a:cubicBezTo>
                <a:cubicBezTo>
                  <a:pt x="7" y="112"/>
                  <a:pt x="0" y="105"/>
                  <a:pt x="0" y="96"/>
                </a:cubicBezTo>
                <a:cubicBezTo>
                  <a:pt x="0" y="16"/>
                  <a:pt x="0" y="16"/>
                  <a:pt x="0" y="16"/>
                </a:cubicBezTo>
                <a:cubicBezTo>
                  <a:pt x="0" y="7"/>
                  <a:pt x="7" y="0"/>
                  <a:pt x="16" y="0"/>
                </a:cubicBezTo>
                <a:cubicBezTo>
                  <a:pt x="72" y="0"/>
                  <a:pt x="72" y="0"/>
                  <a:pt x="72" y="0"/>
                </a:cubicBezTo>
                <a:cubicBezTo>
                  <a:pt x="81" y="0"/>
                  <a:pt x="88" y="7"/>
                  <a:pt x="88" y="16"/>
                </a:cubicBezTo>
                <a:lnTo>
                  <a:pt x="88" y="9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Overflow="clip" horzOverflow="clip" vert="horz" wrap="non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2" name="pos5_seg17">
            <a:extLst>
              <a:ext uri="{FF2B5EF4-FFF2-40B4-BE49-F238E27FC236}">
                <a16:creationId xmlns:a16="http://schemas.microsoft.com/office/drawing/2014/main" id="{52CA8B51-4896-FAEE-DAAF-AB39E707302E}"/>
              </a:ext>
            </a:extLst>
          </xdr:cNvPr>
          <xdr:cNvSpPr>
            <a:spLocks/>
          </xdr:cNvSpPr>
        </xdr:nvSpPr>
        <xdr:spPr bwMode="auto">
          <a:xfrm>
            <a:off x="6888746" y="2959965"/>
            <a:ext cx="617841" cy="162619"/>
          </a:xfrm>
          <a:custGeom>
            <a:avLst/>
            <a:gdLst>
              <a:gd name="connsiteX0" fmla="*/ 418126 w 614410"/>
              <a:gd name="connsiteY0" fmla="*/ 0 h 160046"/>
              <a:gd name="connsiteX1" fmla="*/ 591318 w 614410"/>
              <a:gd name="connsiteY1" fmla="*/ 0 h 160046"/>
              <a:gd name="connsiteX2" fmla="*/ 614410 w 614410"/>
              <a:gd name="connsiteY2" fmla="*/ 22864 h 160046"/>
              <a:gd name="connsiteX3" fmla="*/ 614410 w 614410"/>
              <a:gd name="connsiteY3" fmla="*/ 137182 h 160046"/>
              <a:gd name="connsiteX4" fmla="*/ 591318 w 614410"/>
              <a:gd name="connsiteY4" fmla="*/ 160046 h 160046"/>
              <a:gd name="connsiteX5" fmla="*/ 418126 w 614410"/>
              <a:gd name="connsiteY5" fmla="*/ 160046 h 160046"/>
              <a:gd name="connsiteX6" fmla="*/ 395033 w 614410"/>
              <a:gd name="connsiteY6" fmla="*/ 137182 h 160046"/>
              <a:gd name="connsiteX7" fmla="*/ 395033 w 614410"/>
              <a:gd name="connsiteY7" fmla="*/ 22864 h 160046"/>
              <a:gd name="connsiteX8" fmla="*/ 418126 w 614410"/>
              <a:gd name="connsiteY8" fmla="*/ 0 h 160046"/>
              <a:gd name="connsiteX9" fmla="*/ 23313 w 614410"/>
              <a:gd name="connsiteY9" fmla="*/ 0 h 160046"/>
              <a:gd name="connsiteX10" fmla="*/ 198155 w 614410"/>
              <a:gd name="connsiteY10" fmla="*/ 0 h 160046"/>
              <a:gd name="connsiteX11" fmla="*/ 221467 w 614410"/>
              <a:gd name="connsiteY11" fmla="*/ 22864 h 160046"/>
              <a:gd name="connsiteX12" fmla="*/ 221467 w 614410"/>
              <a:gd name="connsiteY12" fmla="*/ 137182 h 160046"/>
              <a:gd name="connsiteX13" fmla="*/ 198155 w 614410"/>
              <a:gd name="connsiteY13" fmla="*/ 160046 h 160046"/>
              <a:gd name="connsiteX14" fmla="*/ 23313 w 614410"/>
              <a:gd name="connsiteY14" fmla="*/ 160046 h 160046"/>
              <a:gd name="connsiteX15" fmla="*/ 0 w 614410"/>
              <a:gd name="connsiteY15" fmla="*/ 137182 h 160046"/>
              <a:gd name="connsiteX16" fmla="*/ 0 w 614410"/>
              <a:gd name="connsiteY16" fmla="*/ 22864 h 160046"/>
              <a:gd name="connsiteX17" fmla="*/ 23313 w 614410"/>
              <a:gd name="connsiteY17" fmla="*/ 0 h 160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614410" h="160046">
                <a:moveTo>
                  <a:pt x="418126" y="0"/>
                </a:moveTo>
                <a:cubicBezTo>
                  <a:pt x="591318" y="0"/>
                  <a:pt x="591318" y="0"/>
                  <a:pt x="591318" y="0"/>
                </a:cubicBezTo>
                <a:cubicBezTo>
                  <a:pt x="604307" y="0"/>
                  <a:pt x="614410" y="10003"/>
                  <a:pt x="614410" y="22864"/>
                </a:cubicBezTo>
                <a:lnTo>
                  <a:pt x="614410" y="137182"/>
                </a:lnTo>
                <a:cubicBezTo>
                  <a:pt x="614410" y="150043"/>
                  <a:pt x="604307" y="160046"/>
                  <a:pt x="591318" y="160046"/>
                </a:cubicBezTo>
                <a:cubicBezTo>
                  <a:pt x="418126" y="160046"/>
                  <a:pt x="418126" y="160046"/>
                  <a:pt x="418126" y="160046"/>
                </a:cubicBezTo>
                <a:cubicBezTo>
                  <a:pt x="405136" y="160046"/>
                  <a:pt x="395033" y="150043"/>
                  <a:pt x="395033" y="137182"/>
                </a:cubicBezTo>
                <a:cubicBezTo>
                  <a:pt x="395033" y="22864"/>
                  <a:pt x="395033" y="22864"/>
                  <a:pt x="395033" y="22864"/>
                </a:cubicBezTo>
                <a:cubicBezTo>
                  <a:pt x="395033" y="10003"/>
                  <a:pt x="405136" y="0"/>
                  <a:pt x="418126" y="0"/>
                </a:cubicBezTo>
                <a:close/>
                <a:moveTo>
                  <a:pt x="23313" y="0"/>
                </a:moveTo>
                <a:cubicBezTo>
                  <a:pt x="198155" y="0"/>
                  <a:pt x="198155" y="0"/>
                  <a:pt x="198155" y="0"/>
                </a:cubicBezTo>
                <a:cubicBezTo>
                  <a:pt x="211268" y="0"/>
                  <a:pt x="221467" y="10003"/>
                  <a:pt x="221467" y="22864"/>
                </a:cubicBezTo>
                <a:lnTo>
                  <a:pt x="221467" y="137182"/>
                </a:lnTo>
                <a:cubicBezTo>
                  <a:pt x="221467" y="150043"/>
                  <a:pt x="211268" y="160046"/>
                  <a:pt x="198155" y="160046"/>
                </a:cubicBezTo>
                <a:cubicBezTo>
                  <a:pt x="23313" y="160046"/>
                  <a:pt x="23313" y="160046"/>
                  <a:pt x="23313" y="160046"/>
                </a:cubicBezTo>
                <a:cubicBezTo>
                  <a:pt x="10199" y="160046"/>
                  <a:pt x="0" y="150043"/>
                  <a:pt x="0" y="137182"/>
                </a:cubicBezTo>
                <a:cubicBezTo>
                  <a:pt x="0" y="22864"/>
                  <a:pt x="0" y="22864"/>
                  <a:pt x="0" y="22864"/>
                </a:cubicBezTo>
                <a:cubicBezTo>
                  <a:pt x="0" y="10003"/>
                  <a:pt x="10199" y="0"/>
                  <a:pt x="23313" y="0"/>
                </a:cubicBezTo>
                <a:close/>
              </a:path>
            </a:pathLst>
          </a:custGeom>
          <a:solidFill>
            <a:srgbClr val="88F9FF"/>
          </a:solidFill>
          <a:ln>
            <a:noFill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13</xdr:col>
      <xdr:colOff>350836</xdr:colOff>
      <xdr:row>8</xdr:row>
      <xdr:rowOff>42462</xdr:rowOff>
    </xdr:from>
    <xdr:to>
      <xdr:col>14</xdr:col>
      <xdr:colOff>70223</xdr:colOff>
      <xdr:row>12</xdr:row>
      <xdr:rowOff>33275</xdr:rowOff>
    </xdr:to>
    <xdr:sp macro="[0]!show_clicked_shape_name" textlink="">
      <xdr:nvSpPr>
        <xdr:cNvPr id="133" name="pos1_seg20">
          <a:extLst>
            <a:ext uri="{FF2B5EF4-FFF2-40B4-BE49-F238E27FC236}">
              <a16:creationId xmlns:a16="http://schemas.microsoft.com/office/drawing/2014/main" id="{8C7C9DC8-0033-4569-9C0F-B3D62A054CAD}"/>
            </a:ext>
          </a:extLst>
        </xdr:cNvPr>
        <xdr:cNvSpPr>
          <a:spLocks noChangeArrowheads="1"/>
        </xdr:cNvSpPr>
      </xdr:nvSpPr>
      <xdr:spPr bwMode="auto">
        <a:xfrm>
          <a:off x="7132636" y="1566462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19</xdr:col>
      <xdr:colOff>457200</xdr:colOff>
      <xdr:row>8</xdr:row>
      <xdr:rowOff>47625</xdr:rowOff>
    </xdr:from>
    <xdr:to>
      <xdr:col>20</xdr:col>
      <xdr:colOff>176587</xdr:colOff>
      <xdr:row>12</xdr:row>
      <xdr:rowOff>38438</xdr:rowOff>
    </xdr:to>
    <xdr:sp macro="[0]!show_clicked_shape_name" textlink="">
      <xdr:nvSpPr>
        <xdr:cNvPr id="134" name="pos3_seg20">
          <a:extLst>
            <a:ext uri="{FF2B5EF4-FFF2-40B4-BE49-F238E27FC236}">
              <a16:creationId xmlns:a16="http://schemas.microsoft.com/office/drawing/2014/main" id="{D66BC50D-7C46-4AAE-A7D6-6532514ABB38}"/>
            </a:ext>
          </a:extLst>
        </xdr:cNvPr>
        <xdr:cNvSpPr>
          <a:spLocks noChangeArrowheads="1"/>
        </xdr:cNvSpPr>
      </xdr:nvSpPr>
      <xdr:spPr bwMode="auto">
        <a:xfrm>
          <a:off x="10039350" y="1571625"/>
          <a:ext cx="186112" cy="752813"/>
        </a:xfrm>
        <a:custGeom>
          <a:avLst/>
          <a:gdLst>
            <a:gd name="connsiteX0" fmla="*/ 69602 w 185208"/>
            <a:gd name="connsiteY0" fmla="*/ 614792 h 755594"/>
            <a:gd name="connsiteX1" fmla="*/ 139204 w 185208"/>
            <a:gd name="connsiteY1" fmla="*/ 685193 h 755594"/>
            <a:gd name="connsiteX2" fmla="*/ 69602 w 185208"/>
            <a:gd name="connsiteY2" fmla="*/ 755594 h 755594"/>
            <a:gd name="connsiteX3" fmla="*/ 0 w 185208"/>
            <a:gd name="connsiteY3" fmla="*/ 685193 h 755594"/>
            <a:gd name="connsiteX4" fmla="*/ 69602 w 185208"/>
            <a:gd name="connsiteY4" fmla="*/ 614792 h 755594"/>
            <a:gd name="connsiteX5" fmla="*/ 81103 w 185208"/>
            <a:gd name="connsiteY5" fmla="*/ 440532 h 755594"/>
            <a:gd name="connsiteX6" fmla="*/ 149659 w 185208"/>
            <a:gd name="connsiteY6" fmla="*/ 510933 h 755594"/>
            <a:gd name="connsiteX7" fmla="*/ 81103 w 185208"/>
            <a:gd name="connsiteY7" fmla="*/ 581334 h 755594"/>
            <a:gd name="connsiteX8" fmla="*/ 12547 w 185208"/>
            <a:gd name="connsiteY8" fmla="*/ 510933 h 755594"/>
            <a:gd name="connsiteX9" fmla="*/ 81103 w 185208"/>
            <a:gd name="connsiteY9" fmla="*/ 440532 h 755594"/>
            <a:gd name="connsiteX10" fmla="*/ 104105 w 185208"/>
            <a:gd name="connsiteY10" fmla="*/ 161713 h 755594"/>
            <a:gd name="connsiteX11" fmla="*/ 172661 w 185208"/>
            <a:gd name="connsiteY11" fmla="*/ 231767 h 755594"/>
            <a:gd name="connsiteX12" fmla="*/ 104105 w 185208"/>
            <a:gd name="connsiteY12" fmla="*/ 301821 h 755594"/>
            <a:gd name="connsiteX13" fmla="*/ 35549 w 185208"/>
            <a:gd name="connsiteY13" fmla="*/ 231767 h 755594"/>
            <a:gd name="connsiteX14" fmla="*/ 104105 w 185208"/>
            <a:gd name="connsiteY14" fmla="*/ 161713 h 755594"/>
            <a:gd name="connsiteX15" fmla="*/ 116652 w 185208"/>
            <a:gd name="connsiteY15" fmla="*/ 0 h 755594"/>
            <a:gd name="connsiteX16" fmla="*/ 185208 w 185208"/>
            <a:gd name="connsiteY16" fmla="*/ 69008 h 755594"/>
            <a:gd name="connsiteX17" fmla="*/ 116652 w 185208"/>
            <a:gd name="connsiteY17" fmla="*/ 138016 h 755594"/>
            <a:gd name="connsiteX18" fmla="*/ 48096 w 185208"/>
            <a:gd name="connsiteY18" fmla="*/ 69008 h 755594"/>
            <a:gd name="connsiteX19" fmla="*/ 116652 w 185208"/>
            <a:gd name="connsiteY19" fmla="*/ 0 h 7555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5208" h="755594">
              <a:moveTo>
                <a:pt x="69602" y="614792"/>
              </a:moveTo>
              <a:cubicBezTo>
                <a:pt x="108042" y="614792"/>
                <a:pt x="139204" y="646312"/>
                <a:pt x="139204" y="685193"/>
              </a:cubicBezTo>
              <a:cubicBezTo>
                <a:pt x="139204" y="724074"/>
                <a:pt x="108042" y="755594"/>
                <a:pt x="69602" y="755594"/>
              </a:cubicBezTo>
              <a:cubicBezTo>
                <a:pt x="31162" y="755594"/>
                <a:pt x="0" y="724074"/>
                <a:pt x="0" y="685193"/>
              </a:cubicBezTo>
              <a:cubicBezTo>
                <a:pt x="0" y="646312"/>
                <a:pt x="31162" y="614792"/>
                <a:pt x="69602" y="614792"/>
              </a:cubicBezTo>
              <a:close/>
              <a:moveTo>
                <a:pt x="81103" y="440532"/>
              </a:moveTo>
              <a:cubicBezTo>
                <a:pt x="118965" y="440532"/>
                <a:pt x="149659" y="472052"/>
                <a:pt x="149659" y="510933"/>
              </a:cubicBezTo>
              <a:cubicBezTo>
                <a:pt x="149659" y="549814"/>
                <a:pt x="118965" y="581334"/>
                <a:pt x="81103" y="581334"/>
              </a:cubicBezTo>
              <a:cubicBezTo>
                <a:pt x="43241" y="581334"/>
                <a:pt x="12547" y="549814"/>
                <a:pt x="12547" y="510933"/>
              </a:cubicBezTo>
              <a:cubicBezTo>
                <a:pt x="12547" y="472052"/>
                <a:pt x="43241" y="440532"/>
                <a:pt x="81103" y="440532"/>
              </a:cubicBezTo>
              <a:close/>
              <a:moveTo>
                <a:pt x="104105" y="161713"/>
              </a:moveTo>
              <a:cubicBezTo>
                <a:pt x="141967" y="161713"/>
                <a:pt x="172661" y="193077"/>
                <a:pt x="172661" y="231767"/>
              </a:cubicBezTo>
              <a:cubicBezTo>
                <a:pt x="172661" y="270457"/>
                <a:pt x="141967" y="301821"/>
                <a:pt x="104105" y="301821"/>
              </a:cubicBezTo>
              <a:cubicBezTo>
                <a:pt x="66243" y="301821"/>
                <a:pt x="35549" y="270457"/>
                <a:pt x="35549" y="231767"/>
              </a:cubicBezTo>
              <a:cubicBezTo>
                <a:pt x="35549" y="193077"/>
                <a:pt x="66243" y="161713"/>
                <a:pt x="104105" y="161713"/>
              </a:cubicBezTo>
              <a:close/>
              <a:moveTo>
                <a:pt x="116652" y="0"/>
              </a:moveTo>
              <a:cubicBezTo>
                <a:pt x="154514" y="0"/>
                <a:pt x="185208" y="30896"/>
                <a:pt x="185208" y="69008"/>
              </a:cubicBezTo>
              <a:cubicBezTo>
                <a:pt x="185208" y="107120"/>
                <a:pt x="154514" y="138016"/>
                <a:pt x="116652" y="138016"/>
              </a:cubicBezTo>
              <a:cubicBezTo>
                <a:pt x="78790" y="138016"/>
                <a:pt x="48096" y="107120"/>
                <a:pt x="48096" y="69008"/>
              </a:cubicBezTo>
              <a:cubicBezTo>
                <a:pt x="48096" y="30896"/>
                <a:pt x="78790" y="0"/>
                <a:pt x="116652" y="0"/>
              </a:cubicBezTo>
              <a:close/>
            </a:path>
          </a:pathLst>
        </a:custGeom>
        <a:solidFill>
          <a:srgbClr val="353838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285436</xdr:colOff>
      <xdr:row>6</xdr:row>
      <xdr:rowOff>67255</xdr:rowOff>
    </xdr:from>
    <xdr:to>
      <xdr:col>7</xdr:col>
      <xdr:colOff>422653</xdr:colOff>
      <xdr:row>14</xdr:row>
      <xdr:rowOff>34250</xdr:rowOff>
    </xdr:to>
    <xdr:grpSp>
      <xdr:nvGrpSpPr>
        <xdr:cNvPr id="135" name="icon left">
          <a:extLst>
            <a:ext uri="{FF2B5EF4-FFF2-40B4-BE49-F238E27FC236}">
              <a16:creationId xmlns:a16="http://schemas.microsoft.com/office/drawing/2014/main" id="{05A80B5A-2DB4-4A47-B171-3FA05573FDC6}"/>
            </a:ext>
          </a:extLst>
        </xdr:cNvPr>
        <xdr:cNvGrpSpPr/>
      </xdr:nvGrpSpPr>
      <xdr:grpSpPr>
        <a:xfrm>
          <a:off x="3333436" y="1210255"/>
          <a:ext cx="1070667" cy="1490995"/>
          <a:chOff x="2271366" y="2372355"/>
          <a:chExt cx="1070667" cy="1490995"/>
        </a:xfrm>
      </xdr:grpSpPr>
      <xdr:sp macro="[0]!show_clicked_shape_name" textlink="">
        <xdr:nvSpPr>
          <xdr:cNvPr id="136" name="pos6_seg3">
            <a:extLst>
              <a:ext uri="{FF2B5EF4-FFF2-40B4-BE49-F238E27FC236}">
                <a16:creationId xmlns:a16="http://schemas.microsoft.com/office/drawing/2014/main" id="{1A5B9BDD-52AF-30FC-AEDF-189899CBEB32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541330"/>
            <a:ext cx="1070667" cy="817238"/>
          </a:xfrm>
          <a:custGeom>
            <a:avLst/>
            <a:gdLst>
              <a:gd name="connsiteX0" fmla="*/ 941990 w 1070667"/>
              <a:gd name="connsiteY0" fmla="*/ 678243 h 817238"/>
              <a:gd name="connsiteX1" fmla="*/ 1070667 w 1070667"/>
              <a:gd name="connsiteY1" fmla="*/ 678243 h 817238"/>
              <a:gd name="connsiteX2" fmla="*/ 1070667 w 1070667"/>
              <a:gd name="connsiteY2" fmla="*/ 817238 h 817238"/>
              <a:gd name="connsiteX3" fmla="*/ 941990 w 1070667"/>
              <a:gd name="connsiteY3" fmla="*/ 817238 h 817238"/>
              <a:gd name="connsiteX4" fmla="*/ 153583 w 1070667"/>
              <a:gd name="connsiteY4" fmla="*/ 678243 h 817238"/>
              <a:gd name="connsiteX5" fmla="*/ 288356 w 1070667"/>
              <a:gd name="connsiteY5" fmla="*/ 678243 h 817238"/>
              <a:gd name="connsiteX6" fmla="*/ 288356 w 1070667"/>
              <a:gd name="connsiteY6" fmla="*/ 817238 h 817238"/>
              <a:gd name="connsiteX7" fmla="*/ 153583 w 1070667"/>
              <a:gd name="connsiteY7" fmla="*/ 817238 h 817238"/>
              <a:gd name="connsiteX8" fmla="*/ 0 w 1070667"/>
              <a:gd name="connsiteY8" fmla="*/ 678243 h 817238"/>
              <a:gd name="connsiteX9" fmla="*/ 126602 w 1070667"/>
              <a:gd name="connsiteY9" fmla="*/ 678243 h 817238"/>
              <a:gd name="connsiteX10" fmla="*/ 126602 w 1070667"/>
              <a:gd name="connsiteY10" fmla="*/ 817238 h 817238"/>
              <a:gd name="connsiteX11" fmla="*/ 0 w 1070667"/>
              <a:gd name="connsiteY11" fmla="*/ 817238 h 817238"/>
              <a:gd name="connsiteX12" fmla="*/ 941990 w 1070667"/>
              <a:gd name="connsiteY12" fmla="*/ 337949 h 817238"/>
              <a:gd name="connsiteX13" fmla="*/ 1070667 w 1070667"/>
              <a:gd name="connsiteY13" fmla="*/ 337949 h 817238"/>
              <a:gd name="connsiteX14" fmla="*/ 1070667 w 1070667"/>
              <a:gd name="connsiteY14" fmla="*/ 481428 h 817238"/>
              <a:gd name="connsiteX15" fmla="*/ 941990 w 1070667"/>
              <a:gd name="connsiteY15" fmla="*/ 481428 h 817238"/>
              <a:gd name="connsiteX16" fmla="*/ 0 w 1070667"/>
              <a:gd name="connsiteY16" fmla="*/ 337949 h 817238"/>
              <a:gd name="connsiteX17" fmla="*/ 126602 w 1070667"/>
              <a:gd name="connsiteY17" fmla="*/ 337949 h 817238"/>
              <a:gd name="connsiteX18" fmla="*/ 126602 w 1070667"/>
              <a:gd name="connsiteY18" fmla="*/ 481428 h 817238"/>
              <a:gd name="connsiteX19" fmla="*/ 0 w 1070667"/>
              <a:gd name="connsiteY19" fmla="*/ 481428 h 817238"/>
              <a:gd name="connsiteX20" fmla="*/ 941990 w 1070667"/>
              <a:gd name="connsiteY20" fmla="*/ 168975 h 817238"/>
              <a:gd name="connsiteX21" fmla="*/ 1070667 w 1070667"/>
              <a:gd name="connsiteY21" fmla="*/ 168975 h 817238"/>
              <a:gd name="connsiteX22" fmla="*/ 1070667 w 1070667"/>
              <a:gd name="connsiteY22" fmla="*/ 314595 h 817238"/>
              <a:gd name="connsiteX23" fmla="*/ 941990 w 1070667"/>
              <a:gd name="connsiteY23" fmla="*/ 314595 h 817238"/>
              <a:gd name="connsiteX24" fmla="*/ 786332 w 1070667"/>
              <a:gd name="connsiteY24" fmla="*/ 168975 h 817238"/>
              <a:gd name="connsiteX25" fmla="*/ 915009 w 1070667"/>
              <a:gd name="connsiteY25" fmla="*/ 168975 h 817238"/>
              <a:gd name="connsiteX26" fmla="*/ 915009 w 1070667"/>
              <a:gd name="connsiteY26" fmla="*/ 314595 h 817238"/>
              <a:gd name="connsiteX27" fmla="*/ 786332 w 1070667"/>
              <a:gd name="connsiteY27" fmla="*/ 314595 h 817238"/>
              <a:gd name="connsiteX28" fmla="*/ 153583 w 1070667"/>
              <a:gd name="connsiteY28" fmla="*/ 168975 h 817238"/>
              <a:gd name="connsiteX29" fmla="*/ 288356 w 1070667"/>
              <a:gd name="connsiteY29" fmla="*/ 168975 h 817238"/>
              <a:gd name="connsiteX30" fmla="*/ 288356 w 1070667"/>
              <a:gd name="connsiteY30" fmla="*/ 314595 h 817238"/>
              <a:gd name="connsiteX31" fmla="*/ 153583 w 1070667"/>
              <a:gd name="connsiteY31" fmla="*/ 314595 h 817238"/>
              <a:gd name="connsiteX32" fmla="*/ 0 w 1070667"/>
              <a:gd name="connsiteY32" fmla="*/ 168975 h 817238"/>
              <a:gd name="connsiteX33" fmla="*/ 126602 w 1070667"/>
              <a:gd name="connsiteY33" fmla="*/ 168975 h 817238"/>
              <a:gd name="connsiteX34" fmla="*/ 126602 w 1070667"/>
              <a:gd name="connsiteY34" fmla="*/ 314595 h 817238"/>
              <a:gd name="connsiteX35" fmla="*/ 0 w 1070667"/>
              <a:gd name="connsiteY35" fmla="*/ 314595 h 817238"/>
              <a:gd name="connsiteX36" fmla="*/ 941990 w 1070667"/>
              <a:gd name="connsiteY36" fmla="*/ 0 h 817238"/>
              <a:gd name="connsiteX37" fmla="*/ 1070667 w 1070667"/>
              <a:gd name="connsiteY37" fmla="*/ 0 h 817238"/>
              <a:gd name="connsiteX38" fmla="*/ 1070667 w 1070667"/>
              <a:gd name="connsiteY38" fmla="*/ 145620 h 817238"/>
              <a:gd name="connsiteX39" fmla="*/ 941990 w 1070667"/>
              <a:gd name="connsiteY39" fmla="*/ 145620 h 817238"/>
              <a:gd name="connsiteX40" fmla="*/ 786332 w 1070667"/>
              <a:gd name="connsiteY40" fmla="*/ 0 h 817238"/>
              <a:gd name="connsiteX41" fmla="*/ 915009 w 1070667"/>
              <a:gd name="connsiteY41" fmla="*/ 0 h 817238"/>
              <a:gd name="connsiteX42" fmla="*/ 915009 w 1070667"/>
              <a:gd name="connsiteY42" fmla="*/ 145620 h 817238"/>
              <a:gd name="connsiteX43" fmla="*/ 786332 w 1070667"/>
              <a:gd name="connsiteY43" fmla="*/ 145620 h 817238"/>
              <a:gd name="connsiteX44" fmla="*/ 153583 w 1070667"/>
              <a:gd name="connsiteY44" fmla="*/ 0 h 817238"/>
              <a:gd name="connsiteX45" fmla="*/ 288356 w 1070667"/>
              <a:gd name="connsiteY45" fmla="*/ 0 h 817238"/>
              <a:gd name="connsiteX46" fmla="*/ 288356 w 1070667"/>
              <a:gd name="connsiteY46" fmla="*/ 145620 h 817238"/>
              <a:gd name="connsiteX47" fmla="*/ 153583 w 1070667"/>
              <a:gd name="connsiteY47" fmla="*/ 145620 h 817238"/>
              <a:gd name="connsiteX48" fmla="*/ 0 w 1070667"/>
              <a:gd name="connsiteY48" fmla="*/ 0 h 817238"/>
              <a:gd name="connsiteX49" fmla="*/ 126602 w 1070667"/>
              <a:gd name="connsiteY49" fmla="*/ 0 h 817238"/>
              <a:gd name="connsiteX50" fmla="*/ 126602 w 1070667"/>
              <a:gd name="connsiteY50" fmla="*/ 145620 h 817238"/>
              <a:gd name="connsiteX51" fmla="*/ 0 w 1070667"/>
              <a:gd name="connsiteY51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070667" h="817238">
                <a:moveTo>
                  <a:pt x="941990" y="678243"/>
                </a:moveTo>
                <a:lnTo>
                  <a:pt x="1070667" y="678243"/>
                </a:lnTo>
                <a:lnTo>
                  <a:pt x="1070667" y="817238"/>
                </a:lnTo>
                <a:lnTo>
                  <a:pt x="941990" y="817238"/>
                </a:lnTo>
                <a:close/>
                <a:moveTo>
                  <a:pt x="153583" y="678243"/>
                </a:moveTo>
                <a:lnTo>
                  <a:pt x="288356" y="678243"/>
                </a:lnTo>
                <a:lnTo>
                  <a:pt x="288356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941990" y="337949"/>
                </a:moveTo>
                <a:lnTo>
                  <a:pt x="1070667" y="337949"/>
                </a:lnTo>
                <a:lnTo>
                  <a:pt x="1070667" y="481428"/>
                </a:lnTo>
                <a:lnTo>
                  <a:pt x="941990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941990" y="168975"/>
                </a:moveTo>
                <a:lnTo>
                  <a:pt x="1070667" y="168975"/>
                </a:lnTo>
                <a:lnTo>
                  <a:pt x="1070667" y="314595"/>
                </a:lnTo>
                <a:lnTo>
                  <a:pt x="941990" y="314595"/>
                </a:lnTo>
                <a:close/>
                <a:moveTo>
                  <a:pt x="786332" y="168975"/>
                </a:moveTo>
                <a:lnTo>
                  <a:pt x="915009" y="168975"/>
                </a:lnTo>
                <a:lnTo>
                  <a:pt x="915009" y="314595"/>
                </a:lnTo>
                <a:lnTo>
                  <a:pt x="786332" y="314595"/>
                </a:lnTo>
                <a:close/>
                <a:moveTo>
                  <a:pt x="153583" y="168975"/>
                </a:moveTo>
                <a:lnTo>
                  <a:pt x="288356" y="168975"/>
                </a:lnTo>
                <a:lnTo>
                  <a:pt x="288356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941990" y="0"/>
                </a:moveTo>
                <a:lnTo>
                  <a:pt x="1070667" y="0"/>
                </a:lnTo>
                <a:lnTo>
                  <a:pt x="1070667" y="145620"/>
                </a:lnTo>
                <a:lnTo>
                  <a:pt x="941990" y="145620"/>
                </a:lnTo>
                <a:close/>
                <a:moveTo>
                  <a:pt x="786332" y="0"/>
                </a:moveTo>
                <a:lnTo>
                  <a:pt x="915009" y="0"/>
                </a:lnTo>
                <a:lnTo>
                  <a:pt x="915009" y="145620"/>
                </a:lnTo>
                <a:lnTo>
                  <a:pt x="786332" y="145620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5620"/>
                </a:lnTo>
                <a:lnTo>
                  <a:pt x="153583" y="145620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7" name="pos6_seg2">
            <a:extLst>
              <a:ext uri="{FF2B5EF4-FFF2-40B4-BE49-F238E27FC236}">
                <a16:creationId xmlns:a16="http://schemas.microsoft.com/office/drawing/2014/main" id="{26A9CD94-6D16-426E-9B54-DDDB89409FF7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817238"/>
          </a:xfrm>
          <a:custGeom>
            <a:avLst/>
            <a:gdLst>
              <a:gd name="connsiteX0" fmla="*/ 311316 w 441938"/>
              <a:gd name="connsiteY0" fmla="*/ 678243 h 817238"/>
              <a:gd name="connsiteX1" fmla="*/ 441938 w 441938"/>
              <a:gd name="connsiteY1" fmla="*/ 678243 h 817238"/>
              <a:gd name="connsiteX2" fmla="*/ 441938 w 441938"/>
              <a:gd name="connsiteY2" fmla="*/ 817238 h 817238"/>
              <a:gd name="connsiteX3" fmla="*/ 311316 w 441938"/>
              <a:gd name="connsiteY3" fmla="*/ 817238 h 817238"/>
              <a:gd name="connsiteX4" fmla="*/ 153583 w 441938"/>
              <a:gd name="connsiteY4" fmla="*/ 678243 h 817238"/>
              <a:gd name="connsiteX5" fmla="*/ 284335 w 441938"/>
              <a:gd name="connsiteY5" fmla="*/ 678243 h 817238"/>
              <a:gd name="connsiteX6" fmla="*/ 284335 w 441938"/>
              <a:gd name="connsiteY6" fmla="*/ 817238 h 817238"/>
              <a:gd name="connsiteX7" fmla="*/ 153583 w 441938"/>
              <a:gd name="connsiteY7" fmla="*/ 817238 h 817238"/>
              <a:gd name="connsiteX8" fmla="*/ 0 w 441938"/>
              <a:gd name="connsiteY8" fmla="*/ 678243 h 817238"/>
              <a:gd name="connsiteX9" fmla="*/ 126602 w 441938"/>
              <a:gd name="connsiteY9" fmla="*/ 678243 h 817238"/>
              <a:gd name="connsiteX10" fmla="*/ 126602 w 441938"/>
              <a:gd name="connsiteY10" fmla="*/ 817238 h 817238"/>
              <a:gd name="connsiteX11" fmla="*/ 0 w 441938"/>
              <a:gd name="connsiteY11" fmla="*/ 817238 h 817238"/>
              <a:gd name="connsiteX12" fmla="*/ 0 w 441938"/>
              <a:gd name="connsiteY12" fmla="*/ 0 h 817238"/>
              <a:gd name="connsiteX13" fmla="*/ 126602 w 441938"/>
              <a:gd name="connsiteY13" fmla="*/ 0 h 817238"/>
              <a:gd name="connsiteX14" fmla="*/ 126602 w 441938"/>
              <a:gd name="connsiteY14" fmla="*/ 145620 h 817238"/>
              <a:gd name="connsiteX15" fmla="*/ 0 w 441938"/>
              <a:gd name="connsiteY15" fmla="*/ 145620 h 8172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441938" h="817238">
                <a:moveTo>
                  <a:pt x="311316" y="678243"/>
                </a:moveTo>
                <a:lnTo>
                  <a:pt x="441938" y="678243"/>
                </a:lnTo>
                <a:lnTo>
                  <a:pt x="441938" y="817238"/>
                </a:lnTo>
                <a:lnTo>
                  <a:pt x="311316" y="817238"/>
                </a:lnTo>
                <a:close/>
                <a:moveTo>
                  <a:pt x="153583" y="678243"/>
                </a:moveTo>
                <a:lnTo>
                  <a:pt x="284335" y="678243"/>
                </a:lnTo>
                <a:lnTo>
                  <a:pt x="284335" y="817238"/>
                </a:lnTo>
                <a:lnTo>
                  <a:pt x="153583" y="817238"/>
                </a:lnTo>
                <a:close/>
                <a:moveTo>
                  <a:pt x="0" y="678243"/>
                </a:moveTo>
                <a:lnTo>
                  <a:pt x="126602" y="678243"/>
                </a:lnTo>
                <a:lnTo>
                  <a:pt x="126602" y="817238"/>
                </a:lnTo>
                <a:lnTo>
                  <a:pt x="0" y="817238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5620"/>
                </a:lnTo>
                <a:lnTo>
                  <a:pt x="0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8" name="pos6_seg0">
            <a:extLst>
              <a:ext uri="{FF2B5EF4-FFF2-40B4-BE49-F238E27FC236}">
                <a16:creationId xmlns:a16="http://schemas.microsoft.com/office/drawing/2014/main" id="{6B17FE2C-246A-0C04-A039-E30B0CB4EE36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372355"/>
            <a:ext cx="126602" cy="1490995"/>
          </a:xfrm>
          <a:custGeom>
            <a:avLst/>
            <a:gdLst>
              <a:gd name="connsiteX0" fmla="*/ 0 w 126602"/>
              <a:gd name="connsiteY0" fmla="*/ 1352000 h 1490995"/>
              <a:gd name="connsiteX1" fmla="*/ 126602 w 126602"/>
              <a:gd name="connsiteY1" fmla="*/ 1352000 h 1490995"/>
              <a:gd name="connsiteX2" fmla="*/ 126602 w 126602"/>
              <a:gd name="connsiteY2" fmla="*/ 1490995 h 1490995"/>
              <a:gd name="connsiteX3" fmla="*/ 0 w 126602"/>
              <a:gd name="connsiteY3" fmla="*/ 1490995 h 1490995"/>
              <a:gd name="connsiteX4" fmla="*/ 0 w 126602"/>
              <a:gd name="connsiteY4" fmla="*/ 0 h 1490995"/>
              <a:gd name="connsiteX5" fmla="*/ 126602 w 126602"/>
              <a:gd name="connsiteY5" fmla="*/ 0 h 1490995"/>
              <a:gd name="connsiteX6" fmla="*/ 126602 w 126602"/>
              <a:gd name="connsiteY6" fmla="*/ 141136 h 1490995"/>
              <a:gd name="connsiteX7" fmla="*/ 0 w 126602"/>
              <a:gd name="connsiteY7" fmla="*/ 141136 h 14909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602" h="1490995">
                <a:moveTo>
                  <a:pt x="0" y="1352000"/>
                </a:moveTo>
                <a:lnTo>
                  <a:pt x="126602" y="1352000"/>
                </a:lnTo>
                <a:lnTo>
                  <a:pt x="126602" y="1490995"/>
                </a:lnTo>
                <a:lnTo>
                  <a:pt x="0" y="1490995"/>
                </a:lnTo>
                <a:close/>
                <a:moveTo>
                  <a:pt x="0" y="0"/>
                </a:moveTo>
                <a:lnTo>
                  <a:pt x="126602" y="0"/>
                </a:lnTo>
                <a:lnTo>
                  <a:pt x="126602" y="141136"/>
                </a:lnTo>
                <a:lnTo>
                  <a:pt x="0" y="141136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39" name="pos6_seg1">
            <a:extLst>
              <a:ext uri="{FF2B5EF4-FFF2-40B4-BE49-F238E27FC236}">
                <a16:creationId xmlns:a16="http://schemas.microsoft.com/office/drawing/2014/main" id="{C5815409-EC5E-9992-F573-6898D94FF591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2541330"/>
            <a:ext cx="130622" cy="145620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0" name="pos6_seg7">
            <a:extLst>
              <a:ext uri="{FF2B5EF4-FFF2-40B4-BE49-F238E27FC236}">
                <a16:creationId xmlns:a16="http://schemas.microsoft.com/office/drawing/2014/main" id="{CC47981F-094A-3110-7297-C9E06D9410E2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2879279"/>
            <a:ext cx="284335" cy="312454"/>
          </a:xfrm>
          <a:custGeom>
            <a:avLst/>
            <a:gdLst>
              <a:gd name="connsiteX0" fmla="*/ 155658 w 284335"/>
              <a:gd name="connsiteY0" fmla="*/ 171318 h 312454"/>
              <a:gd name="connsiteX1" fmla="*/ 284335 w 284335"/>
              <a:gd name="connsiteY1" fmla="*/ 171318 h 312454"/>
              <a:gd name="connsiteX2" fmla="*/ 284335 w 284335"/>
              <a:gd name="connsiteY2" fmla="*/ 312454 h 312454"/>
              <a:gd name="connsiteX3" fmla="*/ 155658 w 284335"/>
              <a:gd name="connsiteY3" fmla="*/ 312454 h 312454"/>
              <a:gd name="connsiteX4" fmla="*/ 0 w 284335"/>
              <a:gd name="connsiteY4" fmla="*/ 171318 h 312454"/>
              <a:gd name="connsiteX5" fmla="*/ 128677 w 284335"/>
              <a:gd name="connsiteY5" fmla="*/ 171318 h 312454"/>
              <a:gd name="connsiteX6" fmla="*/ 128677 w 284335"/>
              <a:gd name="connsiteY6" fmla="*/ 312454 h 312454"/>
              <a:gd name="connsiteX7" fmla="*/ 0 w 284335"/>
              <a:gd name="connsiteY7" fmla="*/ 312454 h 312454"/>
              <a:gd name="connsiteX8" fmla="*/ 0 w 284335"/>
              <a:gd name="connsiteY8" fmla="*/ 0 h 312454"/>
              <a:gd name="connsiteX9" fmla="*/ 128677 w 284335"/>
              <a:gd name="connsiteY9" fmla="*/ 0 h 312454"/>
              <a:gd name="connsiteX10" fmla="*/ 128677 w 284335"/>
              <a:gd name="connsiteY10" fmla="*/ 143479 h 312454"/>
              <a:gd name="connsiteX11" fmla="*/ 0 w 284335"/>
              <a:gd name="connsiteY11" fmla="*/ 143479 h 312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4335" h="312454">
                <a:moveTo>
                  <a:pt x="155658" y="171318"/>
                </a:moveTo>
                <a:lnTo>
                  <a:pt x="284335" y="171318"/>
                </a:lnTo>
                <a:lnTo>
                  <a:pt x="284335" y="312454"/>
                </a:lnTo>
                <a:lnTo>
                  <a:pt x="155658" y="312454"/>
                </a:lnTo>
                <a:close/>
                <a:moveTo>
                  <a:pt x="0" y="171318"/>
                </a:moveTo>
                <a:lnTo>
                  <a:pt x="128677" y="171318"/>
                </a:lnTo>
                <a:lnTo>
                  <a:pt x="128677" y="312454"/>
                </a:lnTo>
                <a:lnTo>
                  <a:pt x="0" y="312454"/>
                </a:lnTo>
                <a:close/>
                <a:moveTo>
                  <a:pt x="0" y="0"/>
                </a:moveTo>
                <a:lnTo>
                  <a:pt x="128677" y="0"/>
                </a:lnTo>
                <a:lnTo>
                  <a:pt x="128677" y="143479"/>
                </a:lnTo>
                <a:lnTo>
                  <a:pt x="0" y="143479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1" name="pos6_seg4">
            <a:extLst>
              <a:ext uri="{FF2B5EF4-FFF2-40B4-BE49-F238E27FC236}">
                <a16:creationId xmlns:a16="http://schemas.microsoft.com/office/drawing/2014/main" id="{04794C23-CDAD-4BAF-5574-7B3B89858BDB}"/>
              </a:ext>
            </a:extLst>
          </xdr:cNvPr>
          <xdr:cNvSpPr>
            <a:spLocks noChangeArrowheads="1"/>
          </xdr:cNvSpPr>
        </xdr:nvSpPr>
        <xdr:spPr bwMode="auto">
          <a:xfrm>
            <a:off x="3057698" y="3219573"/>
            <a:ext cx="128677" cy="138995"/>
          </a:xfrm>
          <a:prstGeom prst="rect">
            <a:avLst/>
          </a:pr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2" name="pos6_seg5">
            <a:extLst>
              <a:ext uri="{FF2B5EF4-FFF2-40B4-BE49-F238E27FC236}">
                <a16:creationId xmlns:a16="http://schemas.microsoft.com/office/drawing/2014/main" id="{DBA444E3-A50D-CA0C-D83E-97937A0D0474}"/>
              </a:ext>
            </a:extLst>
          </xdr:cNvPr>
          <xdr:cNvSpPr>
            <a:spLocks noChangeArrowheads="1"/>
          </xdr:cNvSpPr>
        </xdr:nvSpPr>
        <xdr:spPr bwMode="auto">
          <a:xfrm>
            <a:off x="2586702" y="2541330"/>
            <a:ext cx="441938" cy="1153045"/>
          </a:xfrm>
          <a:custGeom>
            <a:avLst/>
            <a:gdLst>
              <a:gd name="connsiteX0" fmla="*/ 153583 w 441938"/>
              <a:gd name="connsiteY0" fmla="*/ 1014050 h 1153045"/>
              <a:gd name="connsiteX1" fmla="*/ 284335 w 441938"/>
              <a:gd name="connsiteY1" fmla="*/ 1014050 h 1153045"/>
              <a:gd name="connsiteX2" fmla="*/ 284335 w 441938"/>
              <a:gd name="connsiteY2" fmla="*/ 1153045 h 1153045"/>
              <a:gd name="connsiteX3" fmla="*/ 153583 w 441938"/>
              <a:gd name="connsiteY3" fmla="*/ 1153045 h 1153045"/>
              <a:gd name="connsiteX4" fmla="*/ 0 w 441938"/>
              <a:gd name="connsiteY4" fmla="*/ 1014050 h 1153045"/>
              <a:gd name="connsiteX5" fmla="*/ 126602 w 441938"/>
              <a:gd name="connsiteY5" fmla="*/ 1014050 h 1153045"/>
              <a:gd name="connsiteX6" fmla="*/ 126602 w 441938"/>
              <a:gd name="connsiteY6" fmla="*/ 1153045 h 1153045"/>
              <a:gd name="connsiteX7" fmla="*/ 0 w 441938"/>
              <a:gd name="connsiteY7" fmla="*/ 1153045 h 1153045"/>
              <a:gd name="connsiteX8" fmla="*/ 311316 w 441938"/>
              <a:gd name="connsiteY8" fmla="*/ 845076 h 1153045"/>
              <a:gd name="connsiteX9" fmla="*/ 441938 w 441938"/>
              <a:gd name="connsiteY9" fmla="*/ 845076 h 1153045"/>
              <a:gd name="connsiteX10" fmla="*/ 441938 w 441938"/>
              <a:gd name="connsiteY10" fmla="*/ 986211 h 1153045"/>
              <a:gd name="connsiteX11" fmla="*/ 311316 w 441938"/>
              <a:gd name="connsiteY11" fmla="*/ 986211 h 1153045"/>
              <a:gd name="connsiteX12" fmla="*/ 153583 w 441938"/>
              <a:gd name="connsiteY12" fmla="*/ 845076 h 1153045"/>
              <a:gd name="connsiteX13" fmla="*/ 284335 w 441938"/>
              <a:gd name="connsiteY13" fmla="*/ 845076 h 1153045"/>
              <a:gd name="connsiteX14" fmla="*/ 284335 w 441938"/>
              <a:gd name="connsiteY14" fmla="*/ 986211 h 1153045"/>
              <a:gd name="connsiteX15" fmla="*/ 153583 w 441938"/>
              <a:gd name="connsiteY15" fmla="*/ 986211 h 1153045"/>
              <a:gd name="connsiteX16" fmla="*/ 0 w 441938"/>
              <a:gd name="connsiteY16" fmla="*/ 845076 h 1153045"/>
              <a:gd name="connsiteX17" fmla="*/ 126602 w 441938"/>
              <a:gd name="connsiteY17" fmla="*/ 845076 h 1153045"/>
              <a:gd name="connsiteX18" fmla="*/ 126602 w 441938"/>
              <a:gd name="connsiteY18" fmla="*/ 986211 h 1153045"/>
              <a:gd name="connsiteX19" fmla="*/ 0 w 441938"/>
              <a:gd name="connsiteY19" fmla="*/ 986211 h 1153045"/>
              <a:gd name="connsiteX20" fmla="*/ 311316 w 441938"/>
              <a:gd name="connsiteY20" fmla="*/ 509267 h 1153045"/>
              <a:gd name="connsiteX21" fmla="*/ 441938 w 441938"/>
              <a:gd name="connsiteY21" fmla="*/ 509267 h 1153045"/>
              <a:gd name="connsiteX22" fmla="*/ 441938 w 441938"/>
              <a:gd name="connsiteY22" fmla="*/ 650403 h 1153045"/>
              <a:gd name="connsiteX23" fmla="*/ 311316 w 441938"/>
              <a:gd name="connsiteY23" fmla="*/ 650403 h 1153045"/>
              <a:gd name="connsiteX24" fmla="*/ 153583 w 441938"/>
              <a:gd name="connsiteY24" fmla="*/ 509267 h 1153045"/>
              <a:gd name="connsiteX25" fmla="*/ 284335 w 441938"/>
              <a:gd name="connsiteY25" fmla="*/ 509267 h 1153045"/>
              <a:gd name="connsiteX26" fmla="*/ 284335 w 441938"/>
              <a:gd name="connsiteY26" fmla="*/ 650403 h 1153045"/>
              <a:gd name="connsiteX27" fmla="*/ 153583 w 441938"/>
              <a:gd name="connsiteY27" fmla="*/ 650403 h 1153045"/>
              <a:gd name="connsiteX28" fmla="*/ 0 w 441938"/>
              <a:gd name="connsiteY28" fmla="*/ 509267 h 1153045"/>
              <a:gd name="connsiteX29" fmla="*/ 126602 w 441938"/>
              <a:gd name="connsiteY29" fmla="*/ 509267 h 1153045"/>
              <a:gd name="connsiteX30" fmla="*/ 126602 w 441938"/>
              <a:gd name="connsiteY30" fmla="*/ 650403 h 1153045"/>
              <a:gd name="connsiteX31" fmla="*/ 0 w 441938"/>
              <a:gd name="connsiteY31" fmla="*/ 650403 h 1153045"/>
              <a:gd name="connsiteX32" fmla="*/ 311316 w 441938"/>
              <a:gd name="connsiteY32" fmla="*/ 337949 h 1153045"/>
              <a:gd name="connsiteX33" fmla="*/ 441938 w 441938"/>
              <a:gd name="connsiteY33" fmla="*/ 337949 h 1153045"/>
              <a:gd name="connsiteX34" fmla="*/ 441938 w 441938"/>
              <a:gd name="connsiteY34" fmla="*/ 481428 h 1153045"/>
              <a:gd name="connsiteX35" fmla="*/ 311316 w 441938"/>
              <a:gd name="connsiteY35" fmla="*/ 481428 h 1153045"/>
              <a:gd name="connsiteX36" fmla="*/ 153583 w 441938"/>
              <a:gd name="connsiteY36" fmla="*/ 337949 h 1153045"/>
              <a:gd name="connsiteX37" fmla="*/ 284335 w 441938"/>
              <a:gd name="connsiteY37" fmla="*/ 337949 h 1153045"/>
              <a:gd name="connsiteX38" fmla="*/ 284335 w 441938"/>
              <a:gd name="connsiteY38" fmla="*/ 481428 h 1153045"/>
              <a:gd name="connsiteX39" fmla="*/ 153583 w 441938"/>
              <a:gd name="connsiteY39" fmla="*/ 481428 h 1153045"/>
              <a:gd name="connsiteX40" fmla="*/ 0 w 441938"/>
              <a:gd name="connsiteY40" fmla="*/ 337949 h 1153045"/>
              <a:gd name="connsiteX41" fmla="*/ 126602 w 441938"/>
              <a:gd name="connsiteY41" fmla="*/ 337949 h 1153045"/>
              <a:gd name="connsiteX42" fmla="*/ 126602 w 441938"/>
              <a:gd name="connsiteY42" fmla="*/ 481428 h 1153045"/>
              <a:gd name="connsiteX43" fmla="*/ 0 w 441938"/>
              <a:gd name="connsiteY43" fmla="*/ 481428 h 1153045"/>
              <a:gd name="connsiteX44" fmla="*/ 311316 w 441938"/>
              <a:gd name="connsiteY44" fmla="*/ 168975 h 1153045"/>
              <a:gd name="connsiteX45" fmla="*/ 441938 w 441938"/>
              <a:gd name="connsiteY45" fmla="*/ 168975 h 1153045"/>
              <a:gd name="connsiteX46" fmla="*/ 441938 w 441938"/>
              <a:gd name="connsiteY46" fmla="*/ 314595 h 1153045"/>
              <a:gd name="connsiteX47" fmla="*/ 311316 w 441938"/>
              <a:gd name="connsiteY47" fmla="*/ 314595 h 1153045"/>
              <a:gd name="connsiteX48" fmla="*/ 153583 w 441938"/>
              <a:gd name="connsiteY48" fmla="*/ 168975 h 1153045"/>
              <a:gd name="connsiteX49" fmla="*/ 284335 w 441938"/>
              <a:gd name="connsiteY49" fmla="*/ 168975 h 1153045"/>
              <a:gd name="connsiteX50" fmla="*/ 284335 w 441938"/>
              <a:gd name="connsiteY50" fmla="*/ 314595 h 1153045"/>
              <a:gd name="connsiteX51" fmla="*/ 153583 w 441938"/>
              <a:gd name="connsiteY51" fmla="*/ 314595 h 1153045"/>
              <a:gd name="connsiteX52" fmla="*/ 0 w 441938"/>
              <a:gd name="connsiteY52" fmla="*/ 168975 h 1153045"/>
              <a:gd name="connsiteX53" fmla="*/ 126602 w 441938"/>
              <a:gd name="connsiteY53" fmla="*/ 168975 h 1153045"/>
              <a:gd name="connsiteX54" fmla="*/ 126602 w 441938"/>
              <a:gd name="connsiteY54" fmla="*/ 314595 h 1153045"/>
              <a:gd name="connsiteX55" fmla="*/ 0 w 441938"/>
              <a:gd name="connsiteY55" fmla="*/ 314595 h 1153045"/>
              <a:gd name="connsiteX56" fmla="*/ 153583 w 441938"/>
              <a:gd name="connsiteY56" fmla="*/ 0 h 1153045"/>
              <a:gd name="connsiteX57" fmla="*/ 284335 w 441938"/>
              <a:gd name="connsiteY57" fmla="*/ 0 h 1153045"/>
              <a:gd name="connsiteX58" fmla="*/ 284335 w 441938"/>
              <a:gd name="connsiteY58" fmla="*/ 145620 h 1153045"/>
              <a:gd name="connsiteX59" fmla="*/ 153583 w 441938"/>
              <a:gd name="connsiteY59" fmla="*/ 145620 h 1153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</a:cxnLst>
            <a:rect l="l" t="t" r="r" b="b"/>
            <a:pathLst>
              <a:path w="441938" h="1153045">
                <a:moveTo>
                  <a:pt x="153583" y="1014050"/>
                </a:moveTo>
                <a:lnTo>
                  <a:pt x="284335" y="1014050"/>
                </a:lnTo>
                <a:lnTo>
                  <a:pt x="284335" y="1153045"/>
                </a:lnTo>
                <a:lnTo>
                  <a:pt x="153583" y="1153045"/>
                </a:lnTo>
                <a:close/>
                <a:moveTo>
                  <a:pt x="0" y="1014050"/>
                </a:moveTo>
                <a:lnTo>
                  <a:pt x="126602" y="1014050"/>
                </a:lnTo>
                <a:lnTo>
                  <a:pt x="126602" y="1153045"/>
                </a:lnTo>
                <a:lnTo>
                  <a:pt x="0" y="1153045"/>
                </a:lnTo>
                <a:close/>
                <a:moveTo>
                  <a:pt x="311316" y="845076"/>
                </a:moveTo>
                <a:lnTo>
                  <a:pt x="441938" y="845076"/>
                </a:lnTo>
                <a:lnTo>
                  <a:pt x="441938" y="986211"/>
                </a:lnTo>
                <a:lnTo>
                  <a:pt x="311316" y="986211"/>
                </a:lnTo>
                <a:close/>
                <a:moveTo>
                  <a:pt x="153583" y="845076"/>
                </a:moveTo>
                <a:lnTo>
                  <a:pt x="284335" y="845076"/>
                </a:lnTo>
                <a:lnTo>
                  <a:pt x="284335" y="986211"/>
                </a:lnTo>
                <a:lnTo>
                  <a:pt x="153583" y="986211"/>
                </a:lnTo>
                <a:close/>
                <a:moveTo>
                  <a:pt x="0" y="845076"/>
                </a:moveTo>
                <a:lnTo>
                  <a:pt x="126602" y="845076"/>
                </a:lnTo>
                <a:lnTo>
                  <a:pt x="126602" y="986211"/>
                </a:lnTo>
                <a:lnTo>
                  <a:pt x="0" y="986211"/>
                </a:lnTo>
                <a:close/>
                <a:moveTo>
                  <a:pt x="311316" y="509267"/>
                </a:moveTo>
                <a:lnTo>
                  <a:pt x="441938" y="509267"/>
                </a:lnTo>
                <a:lnTo>
                  <a:pt x="441938" y="650403"/>
                </a:lnTo>
                <a:lnTo>
                  <a:pt x="311316" y="650403"/>
                </a:lnTo>
                <a:close/>
                <a:moveTo>
                  <a:pt x="153583" y="509267"/>
                </a:moveTo>
                <a:lnTo>
                  <a:pt x="284335" y="509267"/>
                </a:lnTo>
                <a:lnTo>
                  <a:pt x="284335" y="650403"/>
                </a:lnTo>
                <a:lnTo>
                  <a:pt x="153583" y="650403"/>
                </a:lnTo>
                <a:close/>
                <a:moveTo>
                  <a:pt x="0" y="509267"/>
                </a:moveTo>
                <a:lnTo>
                  <a:pt x="126602" y="509267"/>
                </a:lnTo>
                <a:lnTo>
                  <a:pt x="126602" y="650403"/>
                </a:lnTo>
                <a:lnTo>
                  <a:pt x="0" y="650403"/>
                </a:lnTo>
                <a:close/>
                <a:moveTo>
                  <a:pt x="311316" y="337949"/>
                </a:moveTo>
                <a:lnTo>
                  <a:pt x="441938" y="337949"/>
                </a:lnTo>
                <a:lnTo>
                  <a:pt x="441938" y="481428"/>
                </a:lnTo>
                <a:lnTo>
                  <a:pt x="311316" y="481428"/>
                </a:lnTo>
                <a:close/>
                <a:moveTo>
                  <a:pt x="153583" y="337949"/>
                </a:moveTo>
                <a:lnTo>
                  <a:pt x="284335" y="337949"/>
                </a:lnTo>
                <a:lnTo>
                  <a:pt x="284335" y="481428"/>
                </a:lnTo>
                <a:lnTo>
                  <a:pt x="153583" y="481428"/>
                </a:lnTo>
                <a:close/>
                <a:moveTo>
                  <a:pt x="0" y="337949"/>
                </a:moveTo>
                <a:lnTo>
                  <a:pt x="126602" y="337949"/>
                </a:lnTo>
                <a:lnTo>
                  <a:pt x="126602" y="481428"/>
                </a:lnTo>
                <a:lnTo>
                  <a:pt x="0" y="481428"/>
                </a:lnTo>
                <a:close/>
                <a:moveTo>
                  <a:pt x="311316" y="168975"/>
                </a:moveTo>
                <a:lnTo>
                  <a:pt x="441938" y="168975"/>
                </a:lnTo>
                <a:lnTo>
                  <a:pt x="441938" y="314595"/>
                </a:lnTo>
                <a:lnTo>
                  <a:pt x="311316" y="314595"/>
                </a:lnTo>
                <a:close/>
                <a:moveTo>
                  <a:pt x="153583" y="168975"/>
                </a:moveTo>
                <a:lnTo>
                  <a:pt x="284335" y="168975"/>
                </a:lnTo>
                <a:lnTo>
                  <a:pt x="284335" y="314595"/>
                </a:lnTo>
                <a:lnTo>
                  <a:pt x="153583" y="314595"/>
                </a:lnTo>
                <a:close/>
                <a:moveTo>
                  <a:pt x="0" y="168975"/>
                </a:moveTo>
                <a:lnTo>
                  <a:pt x="126602" y="168975"/>
                </a:lnTo>
                <a:lnTo>
                  <a:pt x="126602" y="314595"/>
                </a:lnTo>
                <a:lnTo>
                  <a:pt x="0" y="314595"/>
                </a:lnTo>
                <a:close/>
                <a:moveTo>
                  <a:pt x="153583" y="0"/>
                </a:moveTo>
                <a:lnTo>
                  <a:pt x="284335" y="0"/>
                </a:lnTo>
                <a:lnTo>
                  <a:pt x="284335" y="145620"/>
                </a:lnTo>
                <a:lnTo>
                  <a:pt x="153583" y="145620"/>
                </a:lnTo>
                <a:close/>
              </a:path>
            </a:pathLst>
          </a:custGeom>
          <a:solidFill>
            <a:srgbClr val="88F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3" name="pos6_seg8">
            <a:extLst>
              <a:ext uri="{FF2B5EF4-FFF2-40B4-BE49-F238E27FC236}">
                <a16:creationId xmlns:a16="http://schemas.microsoft.com/office/drawing/2014/main" id="{86CDC010-0F81-1992-569E-C82FB7D91C4A}"/>
              </a:ext>
            </a:extLst>
          </xdr:cNvPr>
          <xdr:cNvSpPr>
            <a:spLocks noChangeArrowheads="1"/>
          </xdr:cNvSpPr>
        </xdr:nvSpPr>
        <xdr:spPr bwMode="auto">
          <a:xfrm>
            <a:off x="2898018" y="3555380"/>
            <a:ext cx="130622" cy="138995"/>
          </a:xfrm>
          <a:prstGeom prst="rect">
            <a:avLst/>
          </a:pr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show_clicked_shape_name" textlink="">
        <xdr:nvSpPr>
          <xdr:cNvPr id="144" name="pos6_seg6">
            <a:extLst>
              <a:ext uri="{FF2B5EF4-FFF2-40B4-BE49-F238E27FC236}">
                <a16:creationId xmlns:a16="http://schemas.microsoft.com/office/drawing/2014/main" id="{ACF569AC-64FF-8970-ABB2-B74E00102C20}"/>
              </a:ext>
            </a:extLst>
          </xdr:cNvPr>
          <xdr:cNvSpPr>
            <a:spLocks noChangeArrowheads="1"/>
          </xdr:cNvSpPr>
        </xdr:nvSpPr>
        <xdr:spPr bwMode="auto">
          <a:xfrm>
            <a:off x="2271366" y="2879278"/>
            <a:ext cx="1070667" cy="815096"/>
          </a:xfrm>
          <a:custGeom>
            <a:avLst/>
            <a:gdLst>
              <a:gd name="connsiteX0" fmla="*/ 941990 w 1070667"/>
              <a:gd name="connsiteY0" fmla="*/ 676101 h 815096"/>
              <a:gd name="connsiteX1" fmla="*/ 1070667 w 1070667"/>
              <a:gd name="connsiteY1" fmla="*/ 676101 h 815096"/>
              <a:gd name="connsiteX2" fmla="*/ 1070667 w 1070667"/>
              <a:gd name="connsiteY2" fmla="*/ 815096 h 815096"/>
              <a:gd name="connsiteX3" fmla="*/ 941990 w 1070667"/>
              <a:gd name="connsiteY3" fmla="*/ 815096 h 815096"/>
              <a:gd name="connsiteX4" fmla="*/ 786332 w 1070667"/>
              <a:gd name="connsiteY4" fmla="*/ 676101 h 815096"/>
              <a:gd name="connsiteX5" fmla="*/ 915009 w 1070667"/>
              <a:gd name="connsiteY5" fmla="*/ 676101 h 815096"/>
              <a:gd name="connsiteX6" fmla="*/ 915009 w 1070667"/>
              <a:gd name="connsiteY6" fmla="*/ 815096 h 815096"/>
              <a:gd name="connsiteX7" fmla="*/ 786332 w 1070667"/>
              <a:gd name="connsiteY7" fmla="*/ 815096 h 815096"/>
              <a:gd name="connsiteX8" fmla="*/ 153583 w 1070667"/>
              <a:gd name="connsiteY8" fmla="*/ 676101 h 815096"/>
              <a:gd name="connsiteX9" fmla="*/ 288356 w 1070667"/>
              <a:gd name="connsiteY9" fmla="*/ 676101 h 815096"/>
              <a:gd name="connsiteX10" fmla="*/ 288356 w 1070667"/>
              <a:gd name="connsiteY10" fmla="*/ 815096 h 815096"/>
              <a:gd name="connsiteX11" fmla="*/ 153583 w 1070667"/>
              <a:gd name="connsiteY11" fmla="*/ 815096 h 815096"/>
              <a:gd name="connsiteX12" fmla="*/ 0 w 1070667"/>
              <a:gd name="connsiteY12" fmla="*/ 676101 h 815096"/>
              <a:gd name="connsiteX13" fmla="*/ 126602 w 1070667"/>
              <a:gd name="connsiteY13" fmla="*/ 676101 h 815096"/>
              <a:gd name="connsiteX14" fmla="*/ 126602 w 1070667"/>
              <a:gd name="connsiteY14" fmla="*/ 815096 h 815096"/>
              <a:gd name="connsiteX15" fmla="*/ 0 w 1070667"/>
              <a:gd name="connsiteY15" fmla="*/ 815096 h 815096"/>
              <a:gd name="connsiteX16" fmla="*/ 941990 w 1070667"/>
              <a:gd name="connsiteY16" fmla="*/ 507127 h 815096"/>
              <a:gd name="connsiteX17" fmla="*/ 1070667 w 1070667"/>
              <a:gd name="connsiteY17" fmla="*/ 507127 h 815096"/>
              <a:gd name="connsiteX18" fmla="*/ 1070667 w 1070667"/>
              <a:gd name="connsiteY18" fmla="*/ 648262 h 815096"/>
              <a:gd name="connsiteX19" fmla="*/ 941990 w 1070667"/>
              <a:gd name="connsiteY19" fmla="*/ 648262 h 815096"/>
              <a:gd name="connsiteX20" fmla="*/ 786332 w 1070667"/>
              <a:gd name="connsiteY20" fmla="*/ 507127 h 815096"/>
              <a:gd name="connsiteX21" fmla="*/ 915009 w 1070667"/>
              <a:gd name="connsiteY21" fmla="*/ 507127 h 815096"/>
              <a:gd name="connsiteX22" fmla="*/ 915009 w 1070667"/>
              <a:gd name="connsiteY22" fmla="*/ 648262 h 815096"/>
              <a:gd name="connsiteX23" fmla="*/ 786332 w 1070667"/>
              <a:gd name="connsiteY23" fmla="*/ 648262 h 815096"/>
              <a:gd name="connsiteX24" fmla="*/ 153583 w 1070667"/>
              <a:gd name="connsiteY24" fmla="*/ 507127 h 815096"/>
              <a:gd name="connsiteX25" fmla="*/ 288356 w 1070667"/>
              <a:gd name="connsiteY25" fmla="*/ 507127 h 815096"/>
              <a:gd name="connsiteX26" fmla="*/ 288356 w 1070667"/>
              <a:gd name="connsiteY26" fmla="*/ 648262 h 815096"/>
              <a:gd name="connsiteX27" fmla="*/ 153583 w 1070667"/>
              <a:gd name="connsiteY27" fmla="*/ 648262 h 815096"/>
              <a:gd name="connsiteX28" fmla="*/ 0 w 1070667"/>
              <a:gd name="connsiteY28" fmla="*/ 507127 h 815096"/>
              <a:gd name="connsiteX29" fmla="*/ 126602 w 1070667"/>
              <a:gd name="connsiteY29" fmla="*/ 507127 h 815096"/>
              <a:gd name="connsiteX30" fmla="*/ 126602 w 1070667"/>
              <a:gd name="connsiteY30" fmla="*/ 648262 h 815096"/>
              <a:gd name="connsiteX31" fmla="*/ 0 w 1070667"/>
              <a:gd name="connsiteY31" fmla="*/ 648262 h 815096"/>
              <a:gd name="connsiteX32" fmla="*/ 153583 w 1070667"/>
              <a:gd name="connsiteY32" fmla="*/ 171318 h 815096"/>
              <a:gd name="connsiteX33" fmla="*/ 288356 w 1070667"/>
              <a:gd name="connsiteY33" fmla="*/ 171318 h 815096"/>
              <a:gd name="connsiteX34" fmla="*/ 288356 w 1070667"/>
              <a:gd name="connsiteY34" fmla="*/ 312454 h 815096"/>
              <a:gd name="connsiteX35" fmla="*/ 153583 w 1070667"/>
              <a:gd name="connsiteY35" fmla="*/ 312454 h 815096"/>
              <a:gd name="connsiteX36" fmla="*/ 0 w 1070667"/>
              <a:gd name="connsiteY36" fmla="*/ 171318 h 815096"/>
              <a:gd name="connsiteX37" fmla="*/ 126602 w 1070667"/>
              <a:gd name="connsiteY37" fmla="*/ 171318 h 815096"/>
              <a:gd name="connsiteX38" fmla="*/ 126602 w 1070667"/>
              <a:gd name="connsiteY38" fmla="*/ 312454 h 815096"/>
              <a:gd name="connsiteX39" fmla="*/ 0 w 1070667"/>
              <a:gd name="connsiteY39" fmla="*/ 312454 h 815096"/>
              <a:gd name="connsiteX40" fmla="*/ 153583 w 1070667"/>
              <a:gd name="connsiteY40" fmla="*/ 0 h 815096"/>
              <a:gd name="connsiteX41" fmla="*/ 288356 w 1070667"/>
              <a:gd name="connsiteY41" fmla="*/ 0 h 815096"/>
              <a:gd name="connsiteX42" fmla="*/ 288356 w 1070667"/>
              <a:gd name="connsiteY42" fmla="*/ 143479 h 815096"/>
              <a:gd name="connsiteX43" fmla="*/ 153583 w 1070667"/>
              <a:gd name="connsiteY43" fmla="*/ 143479 h 8150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1070667" h="815096">
                <a:moveTo>
                  <a:pt x="941990" y="676101"/>
                </a:moveTo>
                <a:lnTo>
                  <a:pt x="1070667" y="676101"/>
                </a:lnTo>
                <a:lnTo>
                  <a:pt x="1070667" y="815096"/>
                </a:lnTo>
                <a:lnTo>
                  <a:pt x="941990" y="815096"/>
                </a:lnTo>
                <a:close/>
                <a:moveTo>
                  <a:pt x="786332" y="676101"/>
                </a:moveTo>
                <a:lnTo>
                  <a:pt x="915009" y="676101"/>
                </a:lnTo>
                <a:lnTo>
                  <a:pt x="915009" y="815096"/>
                </a:lnTo>
                <a:lnTo>
                  <a:pt x="786332" y="815096"/>
                </a:lnTo>
                <a:close/>
                <a:moveTo>
                  <a:pt x="153583" y="676101"/>
                </a:moveTo>
                <a:lnTo>
                  <a:pt x="288356" y="676101"/>
                </a:lnTo>
                <a:lnTo>
                  <a:pt x="288356" y="815096"/>
                </a:lnTo>
                <a:lnTo>
                  <a:pt x="153583" y="815096"/>
                </a:lnTo>
                <a:close/>
                <a:moveTo>
                  <a:pt x="0" y="676101"/>
                </a:moveTo>
                <a:lnTo>
                  <a:pt x="126602" y="676101"/>
                </a:lnTo>
                <a:lnTo>
                  <a:pt x="126602" y="815096"/>
                </a:lnTo>
                <a:lnTo>
                  <a:pt x="0" y="815096"/>
                </a:lnTo>
                <a:close/>
                <a:moveTo>
                  <a:pt x="941990" y="507127"/>
                </a:moveTo>
                <a:lnTo>
                  <a:pt x="1070667" y="507127"/>
                </a:lnTo>
                <a:lnTo>
                  <a:pt x="1070667" y="648262"/>
                </a:lnTo>
                <a:lnTo>
                  <a:pt x="941990" y="648262"/>
                </a:lnTo>
                <a:close/>
                <a:moveTo>
                  <a:pt x="786332" y="507127"/>
                </a:moveTo>
                <a:lnTo>
                  <a:pt x="915009" y="507127"/>
                </a:lnTo>
                <a:lnTo>
                  <a:pt x="915009" y="648262"/>
                </a:lnTo>
                <a:lnTo>
                  <a:pt x="786332" y="648262"/>
                </a:lnTo>
                <a:close/>
                <a:moveTo>
                  <a:pt x="153583" y="507127"/>
                </a:moveTo>
                <a:lnTo>
                  <a:pt x="288356" y="507127"/>
                </a:lnTo>
                <a:lnTo>
                  <a:pt x="288356" y="648262"/>
                </a:lnTo>
                <a:lnTo>
                  <a:pt x="153583" y="648262"/>
                </a:lnTo>
                <a:close/>
                <a:moveTo>
                  <a:pt x="0" y="507127"/>
                </a:moveTo>
                <a:lnTo>
                  <a:pt x="126602" y="507127"/>
                </a:lnTo>
                <a:lnTo>
                  <a:pt x="126602" y="648262"/>
                </a:lnTo>
                <a:lnTo>
                  <a:pt x="0" y="648262"/>
                </a:lnTo>
                <a:close/>
                <a:moveTo>
                  <a:pt x="153583" y="171318"/>
                </a:moveTo>
                <a:lnTo>
                  <a:pt x="288356" y="171318"/>
                </a:lnTo>
                <a:lnTo>
                  <a:pt x="288356" y="312454"/>
                </a:lnTo>
                <a:lnTo>
                  <a:pt x="153583" y="312454"/>
                </a:lnTo>
                <a:close/>
                <a:moveTo>
                  <a:pt x="0" y="171318"/>
                </a:moveTo>
                <a:lnTo>
                  <a:pt x="126602" y="171318"/>
                </a:lnTo>
                <a:lnTo>
                  <a:pt x="126602" y="312454"/>
                </a:lnTo>
                <a:lnTo>
                  <a:pt x="0" y="312454"/>
                </a:lnTo>
                <a:close/>
                <a:moveTo>
                  <a:pt x="153583" y="0"/>
                </a:moveTo>
                <a:lnTo>
                  <a:pt x="288356" y="0"/>
                </a:lnTo>
                <a:lnTo>
                  <a:pt x="288356" y="143479"/>
                </a:lnTo>
                <a:lnTo>
                  <a:pt x="153583" y="143479"/>
                </a:ln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27</xdr:col>
      <xdr:colOff>629</xdr:colOff>
      <xdr:row>6</xdr:row>
      <xdr:rowOff>30775</xdr:rowOff>
    </xdr:from>
    <xdr:to>
      <xdr:col>28</xdr:col>
      <xdr:colOff>419730</xdr:colOff>
      <xdr:row>14</xdr:row>
      <xdr:rowOff>35537</xdr:rowOff>
    </xdr:to>
    <xdr:grpSp>
      <xdr:nvGrpSpPr>
        <xdr:cNvPr id="145" name="red icons">
          <a:extLst>
            <a:ext uri="{FF2B5EF4-FFF2-40B4-BE49-F238E27FC236}">
              <a16:creationId xmlns:a16="http://schemas.microsoft.com/office/drawing/2014/main" id="{95E14355-EF36-483B-8381-56BAF9E79C8F}"/>
            </a:ext>
          </a:extLst>
        </xdr:cNvPr>
        <xdr:cNvGrpSpPr/>
      </xdr:nvGrpSpPr>
      <xdr:grpSpPr>
        <a:xfrm>
          <a:off x="13316579" y="1173775"/>
          <a:ext cx="885826" cy="1528762"/>
          <a:chOff x="4457700" y="2220913"/>
          <a:chExt cx="885826" cy="1528762"/>
        </a:xfrm>
      </xdr:grpSpPr>
      <xdr:sp macro="[0]!toggle_segment_red" textlink="">
        <xdr:nvSpPr>
          <xdr:cNvPr id="146" name="pos6_seg10">
            <a:extLst>
              <a:ext uri="{FF2B5EF4-FFF2-40B4-BE49-F238E27FC236}">
                <a16:creationId xmlns:a16="http://schemas.microsoft.com/office/drawing/2014/main" id="{712AA276-FFE0-C26F-B2E8-9A10FFD5BAD1}"/>
              </a:ext>
            </a:extLst>
          </xdr:cNvPr>
          <xdr:cNvSpPr>
            <a:spLocks noChangeArrowheads="1"/>
          </xdr:cNvSpPr>
        </xdr:nvSpPr>
        <xdr:spPr bwMode="auto">
          <a:xfrm>
            <a:off x="4583113" y="2570163"/>
            <a:ext cx="439738" cy="439738"/>
          </a:xfrm>
          <a:custGeom>
            <a:avLst/>
            <a:gdLst>
              <a:gd name="connsiteX0" fmla="*/ 222514 w 439738"/>
              <a:gd name="connsiteY0" fmla="*/ 98425 h 439738"/>
              <a:gd name="connsiteX1" fmla="*/ 237067 w 439738"/>
              <a:gd name="connsiteY1" fmla="*/ 112926 h 439738"/>
              <a:gd name="connsiteX2" fmla="*/ 237067 w 439738"/>
              <a:gd name="connsiteY2" fmla="*/ 220236 h 439738"/>
              <a:gd name="connsiteX3" fmla="*/ 315648 w 439738"/>
              <a:gd name="connsiteY3" fmla="*/ 220236 h 439738"/>
              <a:gd name="connsiteX4" fmla="*/ 330200 w 439738"/>
              <a:gd name="connsiteY4" fmla="*/ 234737 h 439738"/>
              <a:gd name="connsiteX5" fmla="*/ 315648 w 439738"/>
              <a:gd name="connsiteY5" fmla="*/ 249238 h 439738"/>
              <a:gd name="connsiteX6" fmla="*/ 207962 w 439738"/>
              <a:gd name="connsiteY6" fmla="*/ 249238 h 439738"/>
              <a:gd name="connsiteX7" fmla="*/ 207962 w 439738"/>
              <a:gd name="connsiteY7" fmla="*/ 112926 h 439738"/>
              <a:gd name="connsiteX8" fmla="*/ 222514 w 439738"/>
              <a:gd name="connsiteY8" fmla="*/ 98425 h 439738"/>
              <a:gd name="connsiteX9" fmla="*/ 219869 w 439738"/>
              <a:gd name="connsiteY9" fmla="*/ 80962 h 439738"/>
              <a:gd name="connsiteX10" fmla="*/ 80962 w 439738"/>
              <a:gd name="connsiteY10" fmla="*/ 219869 h 439738"/>
              <a:gd name="connsiteX11" fmla="*/ 219869 w 439738"/>
              <a:gd name="connsiteY11" fmla="*/ 358776 h 439738"/>
              <a:gd name="connsiteX12" fmla="*/ 358776 w 439738"/>
              <a:gd name="connsiteY12" fmla="*/ 219869 h 439738"/>
              <a:gd name="connsiteX13" fmla="*/ 219869 w 439738"/>
              <a:gd name="connsiteY13" fmla="*/ 80962 h 439738"/>
              <a:gd name="connsiteX14" fmla="*/ 219075 w 439738"/>
              <a:gd name="connsiteY14" fmla="*/ 52387 h 439738"/>
              <a:gd name="connsiteX15" fmla="*/ 387350 w 439738"/>
              <a:gd name="connsiteY15" fmla="*/ 219869 h 439738"/>
              <a:gd name="connsiteX16" fmla="*/ 219075 w 439738"/>
              <a:gd name="connsiteY16" fmla="*/ 387351 h 439738"/>
              <a:gd name="connsiteX17" fmla="*/ 50800 w 439738"/>
              <a:gd name="connsiteY17" fmla="*/ 219869 h 439738"/>
              <a:gd name="connsiteX18" fmla="*/ 219075 w 439738"/>
              <a:gd name="connsiteY18" fmla="*/ 52387 h 439738"/>
              <a:gd name="connsiteX19" fmla="*/ 28575 w 439738"/>
              <a:gd name="connsiteY19" fmla="*/ 28575 h 439738"/>
              <a:gd name="connsiteX20" fmla="*/ 28575 w 439738"/>
              <a:gd name="connsiteY20" fmla="*/ 411163 h 439738"/>
              <a:gd name="connsiteX21" fmla="*/ 411163 w 439738"/>
              <a:gd name="connsiteY21" fmla="*/ 411163 h 439738"/>
              <a:gd name="connsiteX22" fmla="*/ 411163 w 439738"/>
              <a:gd name="connsiteY22" fmla="*/ 28575 h 439738"/>
              <a:gd name="connsiteX23" fmla="*/ 0 w 439738"/>
              <a:gd name="connsiteY23" fmla="*/ 0 h 439738"/>
              <a:gd name="connsiteX24" fmla="*/ 439738 w 439738"/>
              <a:gd name="connsiteY24" fmla="*/ 0 h 439738"/>
              <a:gd name="connsiteX25" fmla="*/ 439738 w 439738"/>
              <a:gd name="connsiteY25" fmla="*/ 439738 h 439738"/>
              <a:gd name="connsiteX26" fmla="*/ 0 w 439738"/>
              <a:gd name="connsiteY26" fmla="*/ 439738 h 4397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39738" h="439738">
                <a:moveTo>
                  <a:pt x="222514" y="98425"/>
                </a:moveTo>
                <a:cubicBezTo>
                  <a:pt x="231246" y="98425"/>
                  <a:pt x="237067" y="104226"/>
                  <a:pt x="237067" y="112926"/>
                </a:cubicBezTo>
                <a:cubicBezTo>
                  <a:pt x="237067" y="220236"/>
                  <a:pt x="237067" y="220236"/>
                  <a:pt x="237067" y="220236"/>
                </a:cubicBezTo>
                <a:cubicBezTo>
                  <a:pt x="315648" y="220236"/>
                  <a:pt x="315648" y="220236"/>
                  <a:pt x="315648" y="220236"/>
                </a:cubicBezTo>
                <a:cubicBezTo>
                  <a:pt x="324379" y="220236"/>
                  <a:pt x="330200" y="226036"/>
                  <a:pt x="330200" y="234737"/>
                </a:cubicBezTo>
                <a:cubicBezTo>
                  <a:pt x="330200" y="243438"/>
                  <a:pt x="324379" y="249238"/>
                  <a:pt x="315648" y="249238"/>
                </a:cubicBezTo>
                <a:cubicBezTo>
                  <a:pt x="207962" y="249238"/>
                  <a:pt x="207962" y="249238"/>
                  <a:pt x="207962" y="249238"/>
                </a:cubicBezTo>
                <a:cubicBezTo>
                  <a:pt x="207962" y="112926"/>
                  <a:pt x="207962" y="112926"/>
                  <a:pt x="207962" y="112926"/>
                </a:cubicBezTo>
                <a:cubicBezTo>
                  <a:pt x="207962" y="104226"/>
                  <a:pt x="213783" y="98425"/>
                  <a:pt x="222514" y="98425"/>
                </a:cubicBezTo>
                <a:close/>
                <a:moveTo>
                  <a:pt x="219869" y="80962"/>
                </a:moveTo>
                <a:cubicBezTo>
                  <a:pt x="143153" y="80962"/>
                  <a:pt x="80962" y="143153"/>
                  <a:pt x="80962" y="219869"/>
                </a:cubicBezTo>
                <a:cubicBezTo>
                  <a:pt x="80962" y="296585"/>
                  <a:pt x="143153" y="358776"/>
                  <a:pt x="219869" y="358776"/>
                </a:cubicBezTo>
                <a:cubicBezTo>
                  <a:pt x="296585" y="358776"/>
                  <a:pt x="358776" y="296585"/>
                  <a:pt x="358776" y="219869"/>
                </a:cubicBezTo>
                <a:cubicBezTo>
                  <a:pt x="358776" y="143153"/>
                  <a:pt x="296585" y="80962"/>
                  <a:pt x="219869" y="80962"/>
                </a:cubicBezTo>
                <a:close/>
                <a:moveTo>
                  <a:pt x="219075" y="52387"/>
                </a:moveTo>
                <a:cubicBezTo>
                  <a:pt x="312011" y="52387"/>
                  <a:pt x="387350" y="127371"/>
                  <a:pt x="387350" y="219869"/>
                </a:cubicBezTo>
                <a:cubicBezTo>
                  <a:pt x="387350" y="312367"/>
                  <a:pt x="312011" y="387351"/>
                  <a:pt x="219075" y="387351"/>
                </a:cubicBezTo>
                <a:cubicBezTo>
                  <a:pt x="126139" y="387351"/>
                  <a:pt x="50800" y="312367"/>
                  <a:pt x="50800" y="219869"/>
                </a:cubicBezTo>
                <a:cubicBezTo>
                  <a:pt x="50800" y="127371"/>
                  <a:pt x="126139" y="52387"/>
                  <a:pt x="219075" y="52387"/>
                </a:cubicBezTo>
                <a:close/>
                <a:moveTo>
                  <a:pt x="28575" y="28575"/>
                </a:moveTo>
                <a:lnTo>
                  <a:pt x="28575" y="411163"/>
                </a:lnTo>
                <a:lnTo>
                  <a:pt x="411163" y="411163"/>
                </a:lnTo>
                <a:lnTo>
                  <a:pt x="411163" y="28575"/>
                </a:lnTo>
                <a:close/>
                <a:moveTo>
                  <a:pt x="0" y="0"/>
                </a:moveTo>
                <a:lnTo>
                  <a:pt x="439738" y="0"/>
                </a:lnTo>
                <a:lnTo>
                  <a:pt x="439738" y="439738"/>
                </a:lnTo>
                <a:lnTo>
                  <a:pt x="0" y="439738"/>
                </a:lnTo>
                <a:close/>
              </a:path>
            </a:pathLst>
          </a:custGeom>
          <a:solidFill>
            <a:srgbClr val="FF5F4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7" name="pos6_seg11">
            <a:extLst>
              <a:ext uri="{FF2B5EF4-FFF2-40B4-BE49-F238E27FC236}">
                <a16:creationId xmlns:a16="http://schemas.microsoft.com/office/drawing/2014/main" id="{C9CEA89A-B054-D967-30C9-F89DBF53B6EF}"/>
              </a:ext>
            </a:extLst>
          </xdr:cNvPr>
          <xdr:cNvSpPr>
            <a:spLocks/>
          </xdr:cNvSpPr>
        </xdr:nvSpPr>
        <xdr:spPr bwMode="auto">
          <a:xfrm>
            <a:off x="4616450" y="3155950"/>
            <a:ext cx="387350" cy="228600"/>
          </a:xfrm>
          <a:custGeom>
            <a:avLst/>
            <a:gdLst>
              <a:gd name="connsiteX0" fmla="*/ 241300 w 387350"/>
              <a:gd name="connsiteY0" fmla="*/ 36513 h 228600"/>
              <a:gd name="connsiteX1" fmla="*/ 241300 w 387350"/>
              <a:gd name="connsiteY1" fmla="*/ 188913 h 228600"/>
              <a:gd name="connsiteX2" fmla="*/ 276087 w 387350"/>
              <a:gd name="connsiteY2" fmla="*/ 188913 h 228600"/>
              <a:gd name="connsiteX3" fmla="*/ 293481 w 387350"/>
              <a:gd name="connsiteY3" fmla="*/ 188913 h 228600"/>
              <a:gd name="connsiteX4" fmla="*/ 306526 w 387350"/>
              <a:gd name="connsiteY4" fmla="*/ 186010 h 228600"/>
              <a:gd name="connsiteX5" fmla="*/ 318122 w 387350"/>
              <a:gd name="connsiteY5" fmla="*/ 178753 h 228600"/>
              <a:gd name="connsiteX6" fmla="*/ 341313 w 387350"/>
              <a:gd name="connsiteY6" fmla="*/ 111987 h 228600"/>
              <a:gd name="connsiteX7" fmla="*/ 331167 w 387350"/>
              <a:gd name="connsiteY7" fmla="*/ 62639 h 228600"/>
              <a:gd name="connsiteX8" fmla="*/ 306526 w 387350"/>
              <a:gd name="connsiteY8" fmla="*/ 40867 h 228600"/>
              <a:gd name="connsiteX9" fmla="*/ 271739 w 387350"/>
              <a:gd name="connsiteY9" fmla="*/ 36513 h 228600"/>
              <a:gd name="connsiteX10" fmla="*/ 224271 w 387350"/>
              <a:gd name="connsiteY10" fmla="*/ 0 h 228600"/>
              <a:gd name="connsiteX11" fmla="*/ 283441 w 387350"/>
              <a:gd name="connsiteY11" fmla="*/ 0 h 228600"/>
              <a:gd name="connsiteX12" fmla="*/ 322407 w 387350"/>
              <a:gd name="connsiteY12" fmla="*/ 4332 h 228600"/>
              <a:gd name="connsiteX13" fmla="*/ 352714 w 387350"/>
              <a:gd name="connsiteY13" fmla="*/ 20218 h 228600"/>
              <a:gd name="connsiteX14" fmla="*/ 387350 w 387350"/>
              <a:gd name="connsiteY14" fmla="*/ 111197 h 228600"/>
              <a:gd name="connsiteX15" fmla="*/ 384464 w 387350"/>
              <a:gd name="connsiteY15" fmla="*/ 148744 h 228600"/>
              <a:gd name="connsiteX16" fmla="*/ 372918 w 387350"/>
              <a:gd name="connsiteY16" fmla="*/ 177626 h 228600"/>
              <a:gd name="connsiteX17" fmla="*/ 354157 w 387350"/>
              <a:gd name="connsiteY17" fmla="*/ 202176 h 228600"/>
              <a:gd name="connsiteX18" fmla="*/ 333953 w 387350"/>
              <a:gd name="connsiteY18" fmla="*/ 215173 h 228600"/>
              <a:gd name="connsiteX19" fmla="*/ 312305 w 387350"/>
              <a:gd name="connsiteY19" fmla="*/ 222394 h 228600"/>
              <a:gd name="connsiteX20" fmla="*/ 283441 w 387350"/>
              <a:gd name="connsiteY20" fmla="*/ 223838 h 228600"/>
              <a:gd name="connsiteX21" fmla="*/ 225714 w 387350"/>
              <a:gd name="connsiteY21" fmla="*/ 223838 h 228600"/>
              <a:gd name="connsiteX22" fmla="*/ 206953 w 387350"/>
              <a:gd name="connsiteY22" fmla="*/ 219506 h 228600"/>
              <a:gd name="connsiteX23" fmla="*/ 198293 w 387350"/>
              <a:gd name="connsiteY23" fmla="*/ 209397 h 228600"/>
              <a:gd name="connsiteX24" fmla="*/ 196850 w 387350"/>
              <a:gd name="connsiteY24" fmla="*/ 192068 h 228600"/>
              <a:gd name="connsiteX25" fmla="*/ 196850 w 387350"/>
              <a:gd name="connsiteY25" fmla="*/ 28882 h 228600"/>
              <a:gd name="connsiteX26" fmla="*/ 202623 w 387350"/>
              <a:gd name="connsiteY26" fmla="*/ 7221 h 228600"/>
              <a:gd name="connsiteX27" fmla="*/ 224271 w 387350"/>
              <a:gd name="connsiteY27" fmla="*/ 0 h 228600"/>
              <a:gd name="connsiteX28" fmla="*/ 80036 w 387350"/>
              <a:gd name="connsiteY28" fmla="*/ 0 h 228600"/>
              <a:gd name="connsiteX29" fmla="*/ 106230 w 387350"/>
              <a:gd name="connsiteY29" fmla="*/ 2894 h 228600"/>
              <a:gd name="connsiteX30" fmla="*/ 128058 w 387350"/>
              <a:gd name="connsiteY30" fmla="*/ 15915 h 228600"/>
              <a:gd name="connsiteX31" fmla="*/ 141155 w 387350"/>
              <a:gd name="connsiteY31" fmla="*/ 33277 h 228600"/>
              <a:gd name="connsiteX32" fmla="*/ 145521 w 387350"/>
              <a:gd name="connsiteY32" fmla="*/ 54980 h 228600"/>
              <a:gd name="connsiteX33" fmla="*/ 139700 w 387350"/>
              <a:gd name="connsiteY33" fmla="*/ 81023 h 228600"/>
              <a:gd name="connsiteX34" fmla="*/ 120782 w 387350"/>
              <a:gd name="connsiteY34" fmla="*/ 102725 h 228600"/>
              <a:gd name="connsiteX35" fmla="*/ 141155 w 387350"/>
              <a:gd name="connsiteY35" fmla="*/ 117194 h 228600"/>
              <a:gd name="connsiteX36" fmla="*/ 152797 w 387350"/>
              <a:gd name="connsiteY36" fmla="*/ 134556 h 228600"/>
              <a:gd name="connsiteX37" fmla="*/ 157163 w 387350"/>
              <a:gd name="connsiteY37" fmla="*/ 156258 h 228600"/>
              <a:gd name="connsiteX38" fmla="*/ 151342 w 387350"/>
              <a:gd name="connsiteY38" fmla="*/ 183748 h 228600"/>
              <a:gd name="connsiteX39" fmla="*/ 135335 w 387350"/>
              <a:gd name="connsiteY39" fmla="*/ 206898 h 228600"/>
              <a:gd name="connsiteX40" fmla="*/ 109141 w 387350"/>
              <a:gd name="connsiteY40" fmla="*/ 222813 h 228600"/>
              <a:gd name="connsiteX41" fmla="*/ 75671 w 387350"/>
              <a:gd name="connsiteY41" fmla="*/ 228600 h 228600"/>
              <a:gd name="connsiteX42" fmla="*/ 43656 w 387350"/>
              <a:gd name="connsiteY42" fmla="*/ 221366 h 228600"/>
              <a:gd name="connsiteX43" fmla="*/ 18918 w 387350"/>
              <a:gd name="connsiteY43" fmla="*/ 205451 h 228600"/>
              <a:gd name="connsiteX44" fmla="*/ 4365 w 387350"/>
              <a:gd name="connsiteY44" fmla="*/ 185195 h 228600"/>
              <a:gd name="connsiteX45" fmla="*/ 0 w 387350"/>
              <a:gd name="connsiteY45" fmla="*/ 167833 h 228600"/>
              <a:gd name="connsiteX46" fmla="*/ 5821 w 387350"/>
              <a:gd name="connsiteY46" fmla="*/ 153365 h 228600"/>
              <a:gd name="connsiteX47" fmla="*/ 20373 w 387350"/>
              <a:gd name="connsiteY47" fmla="*/ 147577 h 228600"/>
              <a:gd name="connsiteX48" fmla="*/ 27649 w 387350"/>
              <a:gd name="connsiteY48" fmla="*/ 150471 h 228600"/>
              <a:gd name="connsiteX49" fmla="*/ 33470 w 387350"/>
              <a:gd name="connsiteY49" fmla="*/ 156258 h 228600"/>
              <a:gd name="connsiteX50" fmla="*/ 50932 w 387350"/>
              <a:gd name="connsiteY50" fmla="*/ 188089 h 228600"/>
              <a:gd name="connsiteX51" fmla="*/ 75671 w 387350"/>
              <a:gd name="connsiteY51" fmla="*/ 198217 h 228600"/>
              <a:gd name="connsiteX52" fmla="*/ 94589 w 387350"/>
              <a:gd name="connsiteY52" fmla="*/ 193876 h 228600"/>
              <a:gd name="connsiteX53" fmla="*/ 109141 w 387350"/>
              <a:gd name="connsiteY53" fmla="*/ 179408 h 228600"/>
              <a:gd name="connsiteX54" fmla="*/ 114962 w 387350"/>
              <a:gd name="connsiteY54" fmla="*/ 157705 h 228600"/>
              <a:gd name="connsiteX55" fmla="*/ 104775 w 387350"/>
              <a:gd name="connsiteY55" fmla="*/ 130215 h 228600"/>
              <a:gd name="connsiteX56" fmla="*/ 77126 w 387350"/>
              <a:gd name="connsiteY56" fmla="*/ 120087 h 228600"/>
              <a:gd name="connsiteX57" fmla="*/ 68395 w 387350"/>
              <a:gd name="connsiteY57" fmla="*/ 120087 h 228600"/>
              <a:gd name="connsiteX58" fmla="*/ 59663 w 387350"/>
              <a:gd name="connsiteY58" fmla="*/ 121534 h 228600"/>
              <a:gd name="connsiteX59" fmla="*/ 46567 w 387350"/>
              <a:gd name="connsiteY59" fmla="*/ 117194 h 228600"/>
              <a:gd name="connsiteX60" fmla="*/ 42201 w 387350"/>
              <a:gd name="connsiteY60" fmla="*/ 105619 h 228600"/>
              <a:gd name="connsiteX61" fmla="*/ 48022 w 387350"/>
              <a:gd name="connsiteY61" fmla="*/ 94044 h 228600"/>
              <a:gd name="connsiteX62" fmla="*/ 64029 w 387350"/>
              <a:gd name="connsiteY62" fmla="*/ 89704 h 228600"/>
              <a:gd name="connsiteX63" fmla="*/ 71305 w 387350"/>
              <a:gd name="connsiteY63" fmla="*/ 89704 h 228600"/>
              <a:gd name="connsiteX64" fmla="*/ 94589 w 387350"/>
              <a:gd name="connsiteY64" fmla="*/ 81023 h 228600"/>
              <a:gd name="connsiteX65" fmla="*/ 104775 w 387350"/>
              <a:gd name="connsiteY65" fmla="*/ 57874 h 228600"/>
              <a:gd name="connsiteX66" fmla="*/ 97499 w 387350"/>
              <a:gd name="connsiteY66" fmla="*/ 37618 h 228600"/>
              <a:gd name="connsiteX67" fmla="*/ 75671 w 387350"/>
              <a:gd name="connsiteY67" fmla="*/ 28937 h 228600"/>
              <a:gd name="connsiteX68" fmla="*/ 59663 w 387350"/>
              <a:gd name="connsiteY68" fmla="*/ 31831 h 228600"/>
              <a:gd name="connsiteX69" fmla="*/ 49477 w 387350"/>
              <a:gd name="connsiteY69" fmla="*/ 37618 h 228600"/>
              <a:gd name="connsiteX70" fmla="*/ 43656 w 387350"/>
              <a:gd name="connsiteY70" fmla="*/ 49193 h 228600"/>
              <a:gd name="connsiteX71" fmla="*/ 37835 w 387350"/>
              <a:gd name="connsiteY71" fmla="*/ 62214 h 228600"/>
              <a:gd name="connsiteX72" fmla="*/ 32014 w 387350"/>
              <a:gd name="connsiteY72" fmla="*/ 66555 h 228600"/>
              <a:gd name="connsiteX73" fmla="*/ 23283 w 387350"/>
              <a:gd name="connsiteY73" fmla="*/ 68001 h 228600"/>
              <a:gd name="connsiteX74" fmla="*/ 11641 w 387350"/>
              <a:gd name="connsiteY74" fmla="*/ 63661 h 228600"/>
              <a:gd name="connsiteX75" fmla="*/ 5821 w 387350"/>
              <a:gd name="connsiteY75" fmla="*/ 50639 h 228600"/>
              <a:gd name="connsiteX76" fmla="*/ 11641 w 387350"/>
              <a:gd name="connsiteY76" fmla="*/ 33277 h 228600"/>
              <a:gd name="connsiteX77" fmla="*/ 24738 w 387350"/>
              <a:gd name="connsiteY77" fmla="*/ 17362 h 228600"/>
              <a:gd name="connsiteX78" fmla="*/ 48022 w 387350"/>
              <a:gd name="connsiteY78" fmla="*/ 4341 h 228600"/>
              <a:gd name="connsiteX79" fmla="*/ 80036 w 387350"/>
              <a:gd name="connsiteY79" fmla="*/ 0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387350" h="228600">
                <a:moveTo>
                  <a:pt x="241300" y="36513"/>
                </a:moveTo>
                <a:cubicBezTo>
                  <a:pt x="241300" y="188913"/>
                  <a:pt x="241300" y="188913"/>
                  <a:pt x="241300" y="188913"/>
                </a:cubicBezTo>
                <a:cubicBezTo>
                  <a:pt x="276087" y="188913"/>
                  <a:pt x="276087" y="188913"/>
                  <a:pt x="276087" y="188913"/>
                </a:cubicBezTo>
                <a:cubicBezTo>
                  <a:pt x="283335" y="188913"/>
                  <a:pt x="289133" y="188913"/>
                  <a:pt x="293481" y="188913"/>
                </a:cubicBezTo>
                <a:cubicBezTo>
                  <a:pt x="297829" y="187462"/>
                  <a:pt x="302178" y="187462"/>
                  <a:pt x="306526" y="186010"/>
                </a:cubicBezTo>
                <a:cubicBezTo>
                  <a:pt x="310875" y="183107"/>
                  <a:pt x="315223" y="181656"/>
                  <a:pt x="318122" y="178753"/>
                </a:cubicBezTo>
                <a:cubicBezTo>
                  <a:pt x="334066" y="165690"/>
                  <a:pt x="341313" y="143919"/>
                  <a:pt x="341313" y="111987"/>
                </a:cubicBezTo>
                <a:cubicBezTo>
                  <a:pt x="341313" y="90216"/>
                  <a:pt x="338414" y="72799"/>
                  <a:pt x="331167" y="62639"/>
                </a:cubicBezTo>
                <a:cubicBezTo>
                  <a:pt x="325369" y="51027"/>
                  <a:pt x="316672" y="43770"/>
                  <a:pt x="306526" y="40867"/>
                </a:cubicBezTo>
                <a:cubicBezTo>
                  <a:pt x="296380" y="37965"/>
                  <a:pt x="284784" y="36513"/>
                  <a:pt x="271739" y="36513"/>
                </a:cubicBezTo>
                <a:close/>
                <a:moveTo>
                  <a:pt x="224271" y="0"/>
                </a:moveTo>
                <a:cubicBezTo>
                  <a:pt x="283441" y="0"/>
                  <a:pt x="283441" y="0"/>
                  <a:pt x="283441" y="0"/>
                </a:cubicBezTo>
                <a:cubicBezTo>
                  <a:pt x="297873" y="0"/>
                  <a:pt x="312305" y="1444"/>
                  <a:pt x="322407" y="4332"/>
                </a:cubicBezTo>
                <a:cubicBezTo>
                  <a:pt x="333953" y="7221"/>
                  <a:pt x="344055" y="12997"/>
                  <a:pt x="352714" y="20218"/>
                </a:cubicBezTo>
                <a:cubicBezTo>
                  <a:pt x="375805" y="40435"/>
                  <a:pt x="387350" y="70762"/>
                  <a:pt x="387350" y="111197"/>
                </a:cubicBezTo>
                <a:cubicBezTo>
                  <a:pt x="387350" y="125638"/>
                  <a:pt x="385907" y="137191"/>
                  <a:pt x="384464" y="148744"/>
                </a:cubicBezTo>
                <a:cubicBezTo>
                  <a:pt x="381578" y="158853"/>
                  <a:pt x="377248" y="168962"/>
                  <a:pt x="372918" y="177626"/>
                </a:cubicBezTo>
                <a:cubicBezTo>
                  <a:pt x="368589" y="187735"/>
                  <a:pt x="361373" y="194956"/>
                  <a:pt x="354157" y="202176"/>
                </a:cubicBezTo>
                <a:cubicBezTo>
                  <a:pt x="348384" y="207953"/>
                  <a:pt x="341168" y="212285"/>
                  <a:pt x="333953" y="215173"/>
                </a:cubicBezTo>
                <a:cubicBezTo>
                  <a:pt x="328180" y="218062"/>
                  <a:pt x="319521" y="220950"/>
                  <a:pt x="312305" y="222394"/>
                </a:cubicBezTo>
                <a:cubicBezTo>
                  <a:pt x="303646" y="223838"/>
                  <a:pt x="294987" y="223838"/>
                  <a:pt x="283441" y="223838"/>
                </a:cubicBezTo>
                <a:cubicBezTo>
                  <a:pt x="225714" y="223838"/>
                  <a:pt x="225714" y="223838"/>
                  <a:pt x="225714" y="223838"/>
                </a:cubicBezTo>
                <a:cubicBezTo>
                  <a:pt x="217055" y="223838"/>
                  <a:pt x="211282" y="222394"/>
                  <a:pt x="206953" y="219506"/>
                </a:cubicBezTo>
                <a:cubicBezTo>
                  <a:pt x="202623" y="218062"/>
                  <a:pt x="199737" y="213729"/>
                  <a:pt x="198293" y="209397"/>
                </a:cubicBezTo>
                <a:cubicBezTo>
                  <a:pt x="196850" y="205065"/>
                  <a:pt x="196850" y="199288"/>
                  <a:pt x="196850" y="192068"/>
                </a:cubicBezTo>
                <a:cubicBezTo>
                  <a:pt x="196850" y="28882"/>
                  <a:pt x="196850" y="28882"/>
                  <a:pt x="196850" y="28882"/>
                </a:cubicBezTo>
                <a:cubicBezTo>
                  <a:pt x="196850" y="18774"/>
                  <a:pt x="198293" y="11553"/>
                  <a:pt x="202623" y="7221"/>
                </a:cubicBezTo>
                <a:cubicBezTo>
                  <a:pt x="206953" y="2888"/>
                  <a:pt x="214168" y="0"/>
                  <a:pt x="224271" y="0"/>
                </a:cubicBezTo>
                <a:close/>
                <a:moveTo>
                  <a:pt x="80036" y="0"/>
                </a:moveTo>
                <a:cubicBezTo>
                  <a:pt x="88768" y="0"/>
                  <a:pt x="98954" y="1447"/>
                  <a:pt x="106230" y="2894"/>
                </a:cubicBezTo>
                <a:cubicBezTo>
                  <a:pt x="114962" y="5787"/>
                  <a:pt x="122238" y="10128"/>
                  <a:pt x="128058" y="15915"/>
                </a:cubicBezTo>
                <a:cubicBezTo>
                  <a:pt x="133879" y="20256"/>
                  <a:pt x="138245" y="26043"/>
                  <a:pt x="141155" y="33277"/>
                </a:cubicBezTo>
                <a:cubicBezTo>
                  <a:pt x="144066" y="39065"/>
                  <a:pt x="145521" y="46299"/>
                  <a:pt x="145521" y="54980"/>
                </a:cubicBezTo>
                <a:cubicBezTo>
                  <a:pt x="145521" y="65108"/>
                  <a:pt x="144066" y="73789"/>
                  <a:pt x="139700" y="81023"/>
                </a:cubicBezTo>
                <a:cubicBezTo>
                  <a:pt x="135335" y="88257"/>
                  <a:pt x="128058" y="95491"/>
                  <a:pt x="120782" y="102725"/>
                </a:cubicBezTo>
                <a:cubicBezTo>
                  <a:pt x="128058" y="105619"/>
                  <a:pt x="135335" y="111406"/>
                  <a:pt x="141155" y="117194"/>
                </a:cubicBezTo>
                <a:cubicBezTo>
                  <a:pt x="145521" y="121534"/>
                  <a:pt x="149887" y="128768"/>
                  <a:pt x="152797" y="134556"/>
                </a:cubicBezTo>
                <a:cubicBezTo>
                  <a:pt x="155708" y="141790"/>
                  <a:pt x="157163" y="149024"/>
                  <a:pt x="157163" y="156258"/>
                </a:cubicBezTo>
                <a:cubicBezTo>
                  <a:pt x="157163" y="166386"/>
                  <a:pt x="155708" y="175067"/>
                  <a:pt x="151342" y="183748"/>
                </a:cubicBezTo>
                <a:cubicBezTo>
                  <a:pt x="146976" y="192429"/>
                  <a:pt x="142611" y="199663"/>
                  <a:pt x="135335" y="206898"/>
                </a:cubicBezTo>
                <a:cubicBezTo>
                  <a:pt x="128058" y="212685"/>
                  <a:pt x="119327" y="218472"/>
                  <a:pt x="109141" y="222813"/>
                </a:cubicBezTo>
                <a:cubicBezTo>
                  <a:pt x="98954" y="225706"/>
                  <a:pt x="87313" y="228600"/>
                  <a:pt x="75671" y="228600"/>
                </a:cubicBezTo>
                <a:cubicBezTo>
                  <a:pt x="64029" y="228600"/>
                  <a:pt x="52387" y="225706"/>
                  <a:pt x="43656" y="221366"/>
                </a:cubicBezTo>
                <a:cubicBezTo>
                  <a:pt x="33470" y="217025"/>
                  <a:pt x="24738" y="211238"/>
                  <a:pt x="18918" y="205451"/>
                </a:cubicBezTo>
                <a:cubicBezTo>
                  <a:pt x="13097" y="198217"/>
                  <a:pt x="7276" y="192429"/>
                  <a:pt x="4365" y="185195"/>
                </a:cubicBezTo>
                <a:cubicBezTo>
                  <a:pt x="1455" y="177961"/>
                  <a:pt x="0" y="172174"/>
                  <a:pt x="0" y="167833"/>
                </a:cubicBezTo>
                <a:cubicBezTo>
                  <a:pt x="0" y="162046"/>
                  <a:pt x="1455" y="156258"/>
                  <a:pt x="5821" y="153365"/>
                </a:cubicBezTo>
                <a:cubicBezTo>
                  <a:pt x="8731" y="149024"/>
                  <a:pt x="14552" y="147577"/>
                  <a:pt x="20373" y="147577"/>
                </a:cubicBezTo>
                <a:cubicBezTo>
                  <a:pt x="23283" y="147577"/>
                  <a:pt x="26194" y="149024"/>
                  <a:pt x="27649" y="150471"/>
                </a:cubicBezTo>
                <a:cubicBezTo>
                  <a:pt x="30559" y="151918"/>
                  <a:pt x="32014" y="153365"/>
                  <a:pt x="33470" y="156258"/>
                </a:cubicBezTo>
                <a:cubicBezTo>
                  <a:pt x="39291" y="170727"/>
                  <a:pt x="45111" y="180855"/>
                  <a:pt x="50932" y="188089"/>
                </a:cubicBezTo>
                <a:cubicBezTo>
                  <a:pt x="56753" y="193876"/>
                  <a:pt x="65484" y="198217"/>
                  <a:pt x="75671" y="198217"/>
                </a:cubicBezTo>
                <a:cubicBezTo>
                  <a:pt x="82947" y="198217"/>
                  <a:pt x="88768" y="196770"/>
                  <a:pt x="94589" y="193876"/>
                </a:cubicBezTo>
                <a:cubicBezTo>
                  <a:pt x="100409" y="190982"/>
                  <a:pt x="104775" y="185195"/>
                  <a:pt x="109141" y="179408"/>
                </a:cubicBezTo>
                <a:cubicBezTo>
                  <a:pt x="113506" y="173620"/>
                  <a:pt x="114962" y="166386"/>
                  <a:pt x="114962" y="157705"/>
                </a:cubicBezTo>
                <a:cubicBezTo>
                  <a:pt x="114962" y="146131"/>
                  <a:pt x="112051" y="137449"/>
                  <a:pt x="104775" y="130215"/>
                </a:cubicBezTo>
                <a:cubicBezTo>
                  <a:pt x="98954" y="122981"/>
                  <a:pt x="88768" y="120087"/>
                  <a:pt x="77126" y="120087"/>
                </a:cubicBezTo>
                <a:cubicBezTo>
                  <a:pt x="75671" y="120087"/>
                  <a:pt x="72760" y="120087"/>
                  <a:pt x="68395" y="120087"/>
                </a:cubicBezTo>
                <a:cubicBezTo>
                  <a:pt x="64029" y="121534"/>
                  <a:pt x="61119" y="121534"/>
                  <a:pt x="59663" y="121534"/>
                </a:cubicBezTo>
                <a:cubicBezTo>
                  <a:pt x="53843" y="121534"/>
                  <a:pt x="49477" y="120087"/>
                  <a:pt x="46567" y="117194"/>
                </a:cubicBezTo>
                <a:cubicBezTo>
                  <a:pt x="43656" y="114300"/>
                  <a:pt x="42201" y="109960"/>
                  <a:pt x="42201" y="105619"/>
                </a:cubicBezTo>
                <a:cubicBezTo>
                  <a:pt x="42201" y="101279"/>
                  <a:pt x="43656" y="96938"/>
                  <a:pt x="48022" y="94044"/>
                </a:cubicBezTo>
                <a:cubicBezTo>
                  <a:pt x="50932" y="91151"/>
                  <a:pt x="56753" y="89704"/>
                  <a:pt x="64029" y="89704"/>
                </a:cubicBezTo>
                <a:lnTo>
                  <a:pt x="71305" y="89704"/>
                </a:lnTo>
                <a:cubicBezTo>
                  <a:pt x="80036" y="89704"/>
                  <a:pt x="88768" y="86810"/>
                  <a:pt x="94589" y="81023"/>
                </a:cubicBezTo>
                <a:cubicBezTo>
                  <a:pt x="101865" y="75236"/>
                  <a:pt x="104775" y="68001"/>
                  <a:pt x="104775" y="57874"/>
                </a:cubicBezTo>
                <a:cubicBezTo>
                  <a:pt x="104775" y="49193"/>
                  <a:pt x="101865" y="43405"/>
                  <a:pt x="97499" y="37618"/>
                </a:cubicBezTo>
                <a:cubicBezTo>
                  <a:pt x="91678" y="31831"/>
                  <a:pt x="84402" y="28937"/>
                  <a:pt x="75671" y="28937"/>
                </a:cubicBezTo>
                <a:cubicBezTo>
                  <a:pt x="68395" y="28937"/>
                  <a:pt x="64029" y="28937"/>
                  <a:pt x="59663" y="31831"/>
                </a:cubicBezTo>
                <a:cubicBezTo>
                  <a:pt x="55298" y="33277"/>
                  <a:pt x="52387" y="34724"/>
                  <a:pt x="49477" y="37618"/>
                </a:cubicBezTo>
                <a:cubicBezTo>
                  <a:pt x="48022" y="40512"/>
                  <a:pt x="45111" y="44852"/>
                  <a:pt x="43656" y="49193"/>
                </a:cubicBezTo>
                <a:cubicBezTo>
                  <a:pt x="40746" y="53533"/>
                  <a:pt x="39291" y="57874"/>
                  <a:pt x="37835" y="62214"/>
                </a:cubicBezTo>
                <a:cubicBezTo>
                  <a:pt x="36380" y="63661"/>
                  <a:pt x="34925" y="65108"/>
                  <a:pt x="32014" y="66555"/>
                </a:cubicBezTo>
                <a:cubicBezTo>
                  <a:pt x="29104" y="68001"/>
                  <a:pt x="26194" y="68001"/>
                  <a:pt x="23283" y="68001"/>
                </a:cubicBezTo>
                <a:cubicBezTo>
                  <a:pt x="18918" y="68001"/>
                  <a:pt x="14552" y="66555"/>
                  <a:pt x="11641" y="63661"/>
                </a:cubicBezTo>
                <a:cubicBezTo>
                  <a:pt x="8731" y="60767"/>
                  <a:pt x="5821" y="56427"/>
                  <a:pt x="5821" y="50639"/>
                </a:cubicBezTo>
                <a:cubicBezTo>
                  <a:pt x="5821" y="44852"/>
                  <a:pt x="8731" y="39065"/>
                  <a:pt x="11641" y="33277"/>
                </a:cubicBezTo>
                <a:cubicBezTo>
                  <a:pt x="14552" y="27490"/>
                  <a:pt x="18918" y="21703"/>
                  <a:pt x="24738" y="17362"/>
                </a:cubicBezTo>
                <a:cubicBezTo>
                  <a:pt x="32014" y="11575"/>
                  <a:pt x="39291" y="7234"/>
                  <a:pt x="48022" y="4341"/>
                </a:cubicBezTo>
                <a:cubicBezTo>
                  <a:pt x="58208" y="1447"/>
                  <a:pt x="68395" y="0"/>
                  <a:pt x="800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8" name="pos6_seg12">
            <a:extLst>
              <a:ext uri="{FF2B5EF4-FFF2-40B4-BE49-F238E27FC236}">
                <a16:creationId xmlns:a16="http://schemas.microsoft.com/office/drawing/2014/main" id="{6F7DD5AC-5FFA-C02B-5D5F-B0863CBF1793}"/>
              </a:ext>
            </a:extLst>
          </xdr:cNvPr>
          <xdr:cNvSpPr>
            <a:spLocks/>
          </xdr:cNvSpPr>
        </xdr:nvSpPr>
        <xdr:spPr bwMode="auto">
          <a:xfrm>
            <a:off x="4484688" y="3517900"/>
            <a:ext cx="647700" cy="231775"/>
          </a:xfrm>
          <a:custGeom>
            <a:avLst/>
            <a:gdLst>
              <a:gd name="connsiteX0" fmla="*/ 438531 w 647700"/>
              <a:gd name="connsiteY0" fmla="*/ 3175 h 231775"/>
              <a:gd name="connsiteX1" fmla="*/ 545129 w 647700"/>
              <a:gd name="connsiteY1" fmla="*/ 3175 h 231775"/>
              <a:gd name="connsiteX2" fmla="*/ 560975 w 647700"/>
              <a:gd name="connsiteY2" fmla="*/ 8962 h 231775"/>
              <a:gd name="connsiteX3" fmla="*/ 566737 w 647700"/>
              <a:gd name="connsiteY3" fmla="*/ 20537 h 231775"/>
              <a:gd name="connsiteX4" fmla="*/ 560975 w 647700"/>
              <a:gd name="connsiteY4" fmla="*/ 33559 h 231775"/>
              <a:gd name="connsiteX5" fmla="*/ 545129 w 647700"/>
              <a:gd name="connsiteY5" fmla="*/ 39346 h 231775"/>
              <a:gd name="connsiteX6" fmla="*/ 455818 w 647700"/>
              <a:gd name="connsiteY6" fmla="*/ 39346 h 231775"/>
              <a:gd name="connsiteX7" fmla="*/ 455818 w 647700"/>
              <a:gd name="connsiteY7" fmla="*/ 95773 h 231775"/>
              <a:gd name="connsiteX8" fmla="*/ 530724 w 647700"/>
              <a:gd name="connsiteY8" fmla="*/ 95773 h 231775"/>
              <a:gd name="connsiteX9" fmla="*/ 545129 w 647700"/>
              <a:gd name="connsiteY9" fmla="*/ 100113 h 231775"/>
              <a:gd name="connsiteX10" fmla="*/ 550891 w 647700"/>
              <a:gd name="connsiteY10" fmla="*/ 113135 h 231775"/>
              <a:gd name="connsiteX11" fmla="*/ 545129 w 647700"/>
              <a:gd name="connsiteY11" fmla="*/ 124709 h 231775"/>
              <a:gd name="connsiteX12" fmla="*/ 530724 w 647700"/>
              <a:gd name="connsiteY12" fmla="*/ 130497 h 231775"/>
              <a:gd name="connsiteX13" fmla="*/ 455818 w 647700"/>
              <a:gd name="connsiteY13" fmla="*/ 130497 h 231775"/>
              <a:gd name="connsiteX14" fmla="*/ 455818 w 647700"/>
              <a:gd name="connsiteY14" fmla="*/ 204285 h 231775"/>
              <a:gd name="connsiteX15" fmla="*/ 450056 w 647700"/>
              <a:gd name="connsiteY15" fmla="*/ 224541 h 231775"/>
              <a:gd name="connsiteX16" fmla="*/ 434210 w 647700"/>
              <a:gd name="connsiteY16" fmla="*/ 231775 h 231775"/>
              <a:gd name="connsiteX17" fmla="*/ 416924 w 647700"/>
              <a:gd name="connsiteY17" fmla="*/ 224541 h 231775"/>
              <a:gd name="connsiteX18" fmla="*/ 411162 w 647700"/>
              <a:gd name="connsiteY18" fmla="*/ 204285 h 231775"/>
              <a:gd name="connsiteX19" fmla="*/ 411162 w 647700"/>
              <a:gd name="connsiteY19" fmla="*/ 32112 h 231775"/>
              <a:gd name="connsiteX20" fmla="*/ 414043 w 647700"/>
              <a:gd name="connsiteY20" fmla="*/ 16197 h 231775"/>
              <a:gd name="connsiteX21" fmla="*/ 422686 w 647700"/>
              <a:gd name="connsiteY21" fmla="*/ 6069 h 231775"/>
              <a:gd name="connsiteX22" fmla="*/ 438531 w 647700"/>
              <a:gd name="connsiteY22" fmla="*/ 3175 h 231775"/>
              <a:gd name="connsiteX23" fmla="*/ 625424 w 647700"/>
              <a:gd name="connsiteY23" fmla="*/ 0 h 231775"/>
              <a:gd name="connsiteX24" fmla="*/ 641760 w 647700"/>
              <a:gd name="connsiteY24" fmla="*/ 5795 h 231775"/>
              <a:gd name="connsiteX25" fmla="*/ 647700 w 647700"/>
              <a:gd name="connsiteY25" fmla="*/ 27523 h 231775"/>
              <a:gd name="connsiteX26" fmla="*/ 647700 w 647700"/>
              <a:gd name="connsiteY26" fmla="*/ 204252 h 231775"/>
              <a:gd name="connsiteX27" fmla="*/ 641760 w 647700"/>
              <a:gd name="connsiteY27" fmla="*/ 224532 h 231775"/>
              <a:gd name="connsiteX28" fmla="*/ 625424 w 647700"/>
              <a:gd name="connsiteY28" fmla="*/ 231775 h 231775"/>
              <a:gd name="connsiteX29" fmla="*/ 609088 w 647700"/>
              <a:gd name="connsiteY29" fmla="*/ 224532 h 231775"/>
              <a:gd name="connsiteX30" fmla="*/ 601662 w 647700"/>
              <a:gd name="connsiteY30" fmla="*/ 204252 h 231775"/>
              <a:gd name="connsiteX31" fmla="*/ 601662 w 647700"/>
              <a:gd name="connsiteY31" fmla="*/ 27523 h 231775"/>
              <a:gd name="connsiteX32" fmla="*/ 607603 w 647700"/>
              <a:gd name="connsiteY32" fmla="*/ 5795 h 231775"/>
              <a:gd name="connsiteX33" fmla="*/ 625424 w 647700"/>
              <a:gd name="connsiteY33" fmla="*/ 0 h 231775"/>
              <a:gd name="connsiteX34" fmla="*/ 338854 w 647700"/>
              <a:gd name="connsiteY34" fmla="*/ 0 h 231775"/>
              <a:gd name="connsiteX35" fmla="*/ 354626 w 647700"/>
              <a:gd name="connsiteY35" fmla="*/ 5795 h 231775"/>
              <a:gd name="connsiteX36" fmla="*/ 360362 w 647700"/>
              <a:gd name="connsiteY36" fmla="*/ 27523 h 231775"/>
              <a:gd name="connsiteX37" fmla="*/ 360362 w 647700"/>
              <a:gd name="connsiteY37" fmla="*/ 204252 h 231775"/>
              <a:gd name="connsiteX38" fmla="*/ 354626 w 647700"/>
              <a:gd name="connsiteY38" fmla="*/ 224532 h 231775"/>
              <a:gd name="connsiteX39" fmla="*/ 338854 w 647700"/>
              <a:gd name="connsiteY39" fmla="*/ 231775 h 231775"/>
              <a:gd name="connsiteX40" fmla="*/ 321647 w 647700"/>
              <a:gd name="connsiteY40" fmla="*/ 224532 h 231775"/>
              <a:gd name="connsiteX41" fmla="*/ 315912 w 647700"/>
              <a:gd name="connsiteY41" fmla="*/ 204252 h 231775"/>
              <a:gd name="connsiteX42" fmla="*/ 315912 w 647700"/>
              <a:gd name="connsiteY42" fmla="*/ 27523 h 231775"/>
              <a:gd name="connsiteX43" fmla="*/ 321647 w 647700"/>
              <a:gd name="connsiteY43" fmla="*/ 5795 h 231775"/>
              <a:gd name="connsiteX44" fmla="*/ 338854 w 647700"/>
              <a:gd name="connsiteY44" fmla="*/ 0 h 231775"/>
              <a:gd name="connsiteX45" fmla="*/ 21736 w 647700"/>
              <a:gd name="connsiteY45" fmla="*/ 0 h 231775"/>
              <a:gd name="connsiteX46" fmla="*/ 37676 w 647700"/>
              <a:gd name="connsiteY46" fmla="*/ 7243 h 231775"/>
              <a:gd name="connsiteX47" fmla="*/ 44922 w 647700"/>
              <a:gd name="connsiteY47" fmla="*/ 30421 h 231775"/>
              <a:gd name="connsiteX48" fmla="*/ 75353 w 647700"/>
              <a:gd name="connsiteY48" fmla="*/ 160794 h 231775"/>
              <a:gd name="connsiteX49" fmla="*/ 107233 w 647700"/>
              <a:gd name="connsiteY49" fmla="*/ 39112 h 231775"/>
              <a:gd name="connsiteX50" fmla="*/ 114479 w 647700"/>
              <a:gd name="connsiteY50" fmla="*/ 17383 h 231775"/>
              <a:gd name="connsiteX51" fmla="*/ 123173 w 647700"/>
              <a:gd name="connsiteY51" fmla="*/ 4346 h 231775"/>
              <a:gd name="connsiteX52" fmla="*/ 142012 w 647700"/>
              <a:gd name="connsiteY52" fmla="*/ 0 h 231775"/>
              <a:gd name="connsiteX53" fmla="*/ 159401 w 647700"/>
              <a:gd name="connsiteY53" fmla="*/ 5795 h 231775"/>
              <a:gd name="connsiteX54" fmla="*/ 168096 w 647700"/>
              <a:gd name="connsiteY54" fmla="*/ 17383 h 231775"/>
              <a:gd name="connsiteX55" fmla="*/ 175341 w 647700"/>
              <a:gd name="connsiteY55" fmla="*/ 39112 h 231775"/>
              <a:gd name="connsiteX56" fmla="*/ 207221 w 647700"/>
              <a:gd name="connsiteY56" fmla="*/ 160794 h 231775"/>
              <a:gd name="connsiteX57" fmla="*/ 237653 w 647700"/>
              <a:gd name="connsiteY57" fmla="*/ 30421 h 231775"/>
              <a:gd name="connsiteX58" fmla="*/ 242000 w 647700"/>
              <a:gd name="connsiteY58" fmla="*/ 14486 h 231775"/>
              <a:gd name="connsiteX59" fmla="*/ 247796 w 647700"/>
              <a:gd name="connsiteY59" fmla="*/ 4346 h 231775"/>
              <a:gd name="connsiteX60" fmla="*/ 260838 w 647700"/>
              <a:gd name="connsiteY60" fmla="*/ 0 h 231775"/>
              <a:gd name="connsiteX61" fmla="*/ 276778 w 647700"/>
              <a:gd name="connsiteY61" fmla="*/ 5795 h 231775"/>
              <a:gd name="connsiteX62" fmla="*/ 282575 w 647700"/>
              <a:gd name="connsiteY62" fmla="*/ 20280 h 231775"/>
              <a:gd name="connsiteX63" fmla="*/ 279677 w 647700"/>
              <a:gd name="connsiteY63" fmla="*/ 40561 h 231775"/>
              <a:gd name="connsiteX64" fmla="*/ 242000 w 647700"/>
              <a:gd name="connsiteY64" fmla="*/ 191215 h 231775"/>
              <a:gd name="connsiteX65" fmla="*/ 236203 w 647700"/>
              <a:gd name="connsiteY65" fmla="*/ 212943 h 231775"/>
              <a:gd name="connsiteX66" fmla="*/ 227509 w 647700"/>
              <a:gd name="connsiteY66" fmla="*/ 225981 h 231775"/>
              <a:gd name="connsiteX67" fmla="*/ 210120 w 647700"/>
              <a:gd name="connsiteY67" fmla="*/ 231775 h 231775"/>
              <a:gd name="connsiteX68" fmla="*/ 192730 w 647700"/>
              <a:gd name="connsiteY68" fmla="*/ 225981 h 231775"/>
              <a:gd name="connsiteX69" fmla="*/ 184036 w 647700"/>
              <a:gd name="connsiteY69" fmla="*/ 214392 h 231775"/>
              <a:gd name="connsiteX70" fmla="*/ 178239 w 647700"/>
              <a:gd name="connsiteY70" fmla="*/ 192663 h 231775"/>
              <a:gd name="connsiteX71" fmla="*/ 142012 w 647700"/>
              <a:gd name="connsiteY71" fmla="*/ 57944 h 231775"/>
              <a:gd name="connsiteX72" fmla="*/ 104335 w 647700"/>
              <a:gd name="connsiteY72" fmla="*/ 192663 h 231775"/>
              <a:gd name="connsiteX73" fmla="*/ 98539 w 647700"/>
              <a:gd name="connsiteY73" fmla="*/ 214392 h 231775"/>
              <a:gd name="connsiteX74" fmla="*/ 89844 w 647700"/>
              <a:gd name="connsiteY74" fmla="*/ 225981 h 231775"/>
              <a:gd name="connsiteX75" fmla="*/ 72455 w 647700"/>
              <a:gd name="connsiteY75" fmla="*/ 231775 h 231775"/>
              <a:gd name="connsiteX76" fmla="*/ 59413 w 647700"/>
              <a:gd name="connsiteY76" fmla="*/ 227429 h 231775"/>
              <a:gd name="connsiteX77" fmla="*/ 50718 w 647700"/>
              <a:gd name="connsiteY77" fmla="*/ 218738 h 231775"/>
              <a:gd name="connsiteX78" fmla="*/ 44922 w 647700"/>
              <a:gd name="connsiteY78" fmla="*/ 205700 h 231775"/>
              <a:gd name="connsiteX79" fmla="*/ 40575 w 647700"/>
              <a:gd name="connsiteY79" fmla="*/ 191215 h 231775"/>
              <a:gd name="connsiteX80" fmla="*/ 2898 w 647700"/>
              <a:gd name="connsiteY80" fmla="*/ 40561 h 231775"/>
              <a:gd name="connsiteX81" fmla="*/ 0 w 647700"/>
              <a:gd name="connsiteY81" fmla="*/ 20280 h 231775"/>
              <a:gd name="connsiteX82" fmla="*/ 5796 w 647700"/>
              <a:gd name="connsiteY82" fmla="*/ 5795 h 231775"/>
              <a:gd name="connsiteX83" fmla="*/ 21736 w 647700"/>
              <a:gd name="connsiteY8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</a:cxnLst>
            <a:rect l="l" t="t" r="r" b="b"/>
            <a:pathLst>
              <a:path w="647700" h="231775">
                <a:moveTo>
                  <a:pt x="438531" y="3175"/>
                </a:moveTo>
                <a:cubicBezTo>
                  <a:pt x="545129" y="3175"/>
                  <a:pt x="545129" y="3175"/>
                  <a:pt x="545129" y="3175"/>
                </a:cubicBezTo>
                <a:cubicBezTo>
                  <a:pt x="552332" y="3175"/>
                  <a:pt x="558094" y="4622"/>
                  <a:pt x="560975" y="8962"/>
                </a:cubicBezTo>
                <a:cubicBezTo>
                  <a:pt x="563856" y="11856"/>
                  <a:pt x="566737" y="16197"/>
                  <a:pt x="566737" y="20537"/>
                </a:cubicBezTo>
                <a:cubicBezTo>
                  <a:pt x="566737" y="26324"/>
                  <a:pt x="563856" y="30665"/>
                  <a:pt x="560975" y="33559"/>
                </a:cubicBezTo>
                <a:cubicBezTo>
                  <a:pt x="558094" y="36452"/>
                  <a:pt x="552332" y="39346"/>
                  <a:pt x="545129" y="39346"/>
                </a:cubicBezTo>
                <a:cubicBezTo>
                  <a:pt x="455818" y="39346"/>
                  <a:pt x="455818" y="39346"/>
                  <a:pt x="455818" y="39346"/>
                </a:cubicBezTo>
                <a:cubicBezTo>
                  <a:pt x="455818" y="95773"/>
                  <a:pt x="455818" y="95773"/>
                  <a:pt x="455818" y="95773"/>
                </a:cubicBezTo>
                <a:cubicBezTo>
                  <a:pt x="530724" y="95773"/>
                  <a:pt x="530724" y="95773"/>
                  <a:pt x="530724" y="95773"/>
                </a:cubicBezTo>
                <a:cubicBezTo>
                  <a:pt x="536486" y="95773"/>
                  <a:pt x="542248" y="97219"/>
                  <a:pt x="545129" y="100113"/>
                </a:cubicBezTo>
                <a:cubicBezTo>
                  <a:pt x="549451" y="103007"/>
                  <a:pt x="550891" y="107347"/>
                  <a:pt x="550891" y="113135"/>
                </a:cubicBezTo>
                <a:cubicBezTo>
                  <a:pt x="550891" y="117475"/>
                  <a:pt x="549451" y="121816"/>
                  <a:pt x="545129" y="124709"/>
                </a:cubicBezTo>
                <a:cubicBezTo>
                  <a:pt x="542248" y="129050"/>
                  <a:pt x="536486" y="130497"/>
                  <a:pt x="530724" y="130497"/>
                </a:cubicBezTo>
                <a:cubicBezTo>
                  <a:pt x="455818" y="130497"/>
                  <a:pt x="455818" y="130497"/>
                  <a:pt x="455818" y="130497"/>
                </a:cubicBezTo>
                <a:cubicBezTo>
                  <a:pt x="455818" y="204285"/>
                  <a:pt x="455818" y="204285"/>
                  <a:pt x="455818" y="204285"/>
                </a:cubicBezTo>
                <a:cubicBezTo>
                  <a:pt x="455818" y="212966"/>
                  <a:pt x="454377" y="220200"/>
                  <a:pt x="450056" y="224541"/>
                </a:cubicBezTo>
                <a:cubicBezTo>
                  <a:pt x="445734" y="228881"/>
                  <a:pt x="439972" y="231775"/>
                  <a:pt x="434210" y="231775"/>
                </a:cubicBezTo>
                <a:cubicBezTo>
                  <a:pt x="427007" y="231775"/>
                  <a:pt x="421245" y="228881"/>
                  <a:pt x="416924" y="224541"/>
                </a:cubicBezTo>
                <a:cubicBezTo>
                  <a:pt x="412602" y="220200"/>
                  <a:pt x="411162" y="212966"/>
                  <a:pt x="411162" y="204285"/>
                </a:cubicBezTo>
                <a:cubicBezTo>
                  <a:pt x="411162" y="32112"/>
                  <a:pt x="411162" y="32112"/>
                  <a:pt x="411162" y="32112"/>
                </a:cubicBezTo>
                <a:cubicBezTo>
                  <a:pt x="411162" y="24878"/>
                  <a:pt x="411162" y="19090"/>
                  <a:pt x="414043" y="16197"/>
                </a:cubicBezTo>
                <a:cubicBezTo>
                  <a:pt x="415483" y="11856"/>
                  <a:pt x="418364" y="8962"/>
                  <a:pt x="422686" y="6069"/>
                </a:cubicBezTo>
                <a:cubicBezTo>
                  <a:pt x="427007" y="4622"/>
                  <a:pt x="432769" y="3175"/>
                  <a:pt x="438531" y="3175"/>
                </a:cubicBezTo>
                <a:close/>
                <a:moveTo>
                  <a:pt x="625424" y="0"/>
                </a:moveTo>
                <a:cubicBezTo>
                  <a:pt x="631364" y="0"/>
                  <a:pt x="637305" y="1449"/>
                  <a:pt x="641760" y="5795"/>
                </a:cubicBezTo>
                <a:cubicBezTo>
                  <a:pt x="646215" y="11589"/>
                  <a:pt x="647700" y="17383"/>
                  <a:pt x="647700" y="27523"/>
                </a:cubicBezTo>
                <a:cubicBezTo>
                  <a:pt x="647700" y="204252"/>
                  <a:pt x="647700" y="204252"/>
                  <a:pt x="647700" y="204252"/>
                </a:cubicBezTo>
                <a:cubicBezTo>
                  <a:pt x="647700" y="212943"/>
                  <a:pt x="646215" y="220186"/>
                  <a:pt x="641760" y="224532"/>
                </a:cubicBezTo>
                <a:cubicBezTo>
                  <a:pt x="637305" y="228878"/>
                  <a:pt x="631364" y="231775"/>
                  <a:pt x="625424" y="231775"/>
                </a:cubicBezTo>
                <a:cubicBezTo>
                  <a:pt x="617998" y="231775"/>
                  <a:pt x="612058" y="228878"/>
                  <a:pt x="609088" y="224532"/>
                </a:cubicBezTo>
                <a:cubicBezTo>
                  <a:pt x="604632" y="220186"/>
                  <a:pt x="601662" y="212943"/>
                  <a:pt x="601662" y="204252"/>
                </a:cubicBezTo>
                <a:cubicBezTo>
                  <a:pt x="601662" y="27523"/>
                  <a:pt x="601662" y="27523"/>
                  <a:pt x="601662" y="27523"/>
                </a:cubicBezTo>
                <a:cubicBezTo>
                  <a:pt x="601662" y="17383"/>
                  <a:pt x="604632" y="11589"/>
                  <a:pt x="607603" y="5795"/>
                </a:cubicBezTo>
                <a:cubicBezTo>
                  <a:pt x="612058" y="1449"/>
                  <a:pt x="617998" y="0"/>
                  <a:pt x="625424" y="0"/>
                </a:cubicBezTo>
                <a:close/>
                <a:moveTo>
                  <a:pt x="338854" y="0"/>
                </a:moveTo>
                <a:cubicBezTo>
                  <a:pt x="344589" y="0"/>
                  <a:pt x="350325" y="1449"/>
                  <a:pt x="354626" y="5795"/>
                </a:cubicBezTo>
                <a:cubicBezTo>
                  <a:pt x="358928" y="11589"/>
                  <a:pt x="360362" y="17383"/>
                  <a:pt x="360362" y="27523"/>
                </a:cubicBezTo>
                <a:cubicBezTo>
                  <a:pt x="360362" y="204252"/>
                  <a:pt x="360362" y="204252"/>
                  <a:pt x="360362" y="204252"/>
                </a:cubicBezTo>
                <a:cubicBezTo>
                  <a:pt x="360362" y="212943"/>
                  <a:pt x="358928" y="220186"/>
                  <a:pt x="354626" y="224532"/>
                </a:cubicBezTo>
                <a:cubicBezTo>
                  <a:pt x="350325" y="228878"/>
                  <a:pt x="344589" y="231775"/>
                  <a:pt x="338854" y="231775"/>
                </a:cubicBezTo>
                <a:cubicBezTo>
                  <a:pt x="331684" y="231775"/>
                  <a:pt x="325949" y="228878"/>
                  <a:pt x="321647" y="224532"/>
                </a:cubicBezTo>
                <a:cubicBezTo>
                  <a:pt x="318779" y="220186"/>
                  <a:pt x="315912" y="212943"/>
                  <a:pt x="315912" y="204252"/>
                </a:cubicBezTo>
                <a:cubicBezTo>
                  <a:pt x="315912" y="27523"/>
                  <a:pt x="315912" y="27523"/>
                  <a:pt x="315912" y="27523"/>
                </a:cubicBezTo>
                <a:cubicBezTo>
                  <a:pt x="315912" y="17383"/>
                  <a:pt x="318779" y="11589"/>
                  <a:pt x="321647" y="5795"/>
                </a:cubicBezTo>
                <a:cubicBezTo>
                  <a:pt x="325949" y="1449"/>
                  <a:pt x="331684" y="0"/>
                  <a:pt x="338854" y="0"/>
                </a:cubicBezTo>
                <a:close/>
                <a:moveTo>
                  <a:pt x="21736" y="0"/>
                </a:moveTo>
                <a:cubicBezTo>
                  <a:pt x="28982" y="0"/>
                  <a:pt x="34778" y="2897"/>
                  <a:pt x="37676" y="7243"/>
                </a:cubicBezTo>
                <a:cubicBezTo>
                  <a:pt x="40575" y="13037"/>
                  <a:pt x="43473" y="20280"/>
                  <a:pt x="44922" y="30421"/>
                </a:cubicBezTo>
                <a:cubicBezTo>
                  <a:pt x="75353" y="160794"/>
                  <a:pt x="75353" y="160794"/>
                  <a:pt x="75353" y="160794"/>
                </a:cubicBezTo>
                <a:cubicBezTo>
                  <a:pt x="107233" y="39112"/>
                  <a:pt x="107233" y="39112"/>
                  <a:pt x="107233" y="39112"/>
                </a:cubicBezTo>
                <a:cubicBezTo>
                  <a:pt x="110132" y="28972"/>
                  <a:pt x="111581" y="23178"/>
                  <a:pt x="114479" y="17383"/>
                </a:cubicBezTo>
                <a:cubicBezTo>
                  <a:pt x="115928" y="13037"/>
                  <a:pt x="118826" y="8692"/>
                  <a:pt x="123173" y="4346"/>
                </a:cubicBezTo>
                <a:cubicBezTo>
                  <a:pt x="127521" y="1449"/>
                  <a:pt x="133317" y="0"/>
                  <a:pt x="142012" y="0"/>
                </a:cubicBezTo>
                <a:cubicBezTo>
                  <a:pt x="149257" y="0"/>
                  <a:pt x="155054" y="1449"/>
                  <a:pt x="159401" y="5795"/>
                </a:cubicBezTo>
                <a:cubicBezTo>
                  <a:pt x="163748" y="8692"/>
                  <a:pt x="166647" y="13037"/>
                  <a:pt x="168096" y="17383"/>
                </a:cubicBezTo>
                <a:cubicBezTo>
                  <a:pt x="169545" y="21729"/>
                  <a:pt x="172443" y="28972"/>
                  <a:pt x="175341" y="39112"/>
                </a:cubicBezTo>
                <a:cubicBezTo>
                  <a:pt x="207221" y="160794"/>
                  <a:pt x="207221" y="160794"/>
                  <a:pt x="207221" y="160794"/>
                </a:cubicBezTo>
                <a:cubicBezTo>
                  <a:pt x="237653" y="30421"/>
                  <a:pt x="237653" y="30421"/>
                  <a:pt x="237653" y="30421"/>
                </a:cubicBezTo>
                <a:cubicBezTo>
                  <a:pt x="239102" y="23178"/>
                  <a:pt x="240551" y="18832"/>
                  <a:pt x="242000" y="14486"/>
                </a:cubicBezTo>
                <a:cubicBezTo>
                  <a:pt x="242000" y="10140"/>
                  <a:pt x="244898" y="7243"/>
                  <a:pt x="247796" y="4346"/>
                </a:cubicBezTo>
                <a:cubicBezTo>
                  <a:pt x="250695" y="1449"/>
                  <a:pt x="255042" y="0"/>
                  <a:pt x="260838" y="0"/>
                </a:cubicBezTo>
                <a:cubicBezTo>
                  <a:pt x="266635" y="0"/>
                  <a:pt x="272431" y="1449"/>
                  <a:pt x="276778" y="5795"/>
                </a:cubicBezTo>
                <a:cubicBezTo>
                  <a:pt x="281126" y="10140"/>
                  <a:pt x="282575" y="14486"/>
                  <a:pt x="282575" y="20280"/>
                </a:cubicBezTo>
                <a:cubicBezTo>
                  <a:pt x="282575" y="24626"/>
                  <a:pt x="281126" y="30421"/>
                  <a:pt x="279677" y="40561"/>
                </a:cubicBezTo>
                <a:cubicBezTo>
                  <a:pt x="242000" y="191215"/>
                  <a:pt x="242000" y="191215"/>
                  <a:pt x="242000" y="191215"/>
                </a:cubicBezTo>
                <a:cubicBezTo>
                  <a:pt x="239102" y="201355"/>
                  <a:pt x="237653" y="208598"/>
                  <a:pt x="236203" y="212943"/>
                </a:cubicBezTo>
                <a:cubicBezTo>
                  <a:pt x="233305" y="218738"/>
                  <a:pt x="230407" y="221635"/>
                  <a:pt x="227509" y="225981"/>
                </a:cubicBezTo>
                <a:cubicBezTo>
                  <a:pt x="223162" y="228878"/>
                  <a:pt x="217365" y="231775"/>
                  <a:pt x="210120" y="231775"/>
                </a:cubicBezTo>
                <a:cubicBezTo>
                  <a:pt x="202874" y="231775"/>
                  <a:pt x="197078" y="228878"/>
                  <a:pt x="192730" y="225981"/>
                </a:cubicBezTo>
                <a:cubicBezTo>
                  <a:pt x="189832" y="223084"/>
                  <a:pt x="186934" y="218738"/>
                  <a:pt x="184036" y="214392"/>
                </a:cubicBezTo>
                <a:cubicBezTo>
                  <a:pt x="182587" y="210046"/>
                  <a:pt x="181138" y="202803"/>
                  <a:pt x="178239" y="192663"/>
                </a:cubicBezTo>
                <a:cubicBezTo>
                  <a:pt x="142012" y="57944"/>
                  <a:pt x="142012" y="57944"/>
                  <a:pt x="142012" y="57944"/>
                </a:cubicBezTo>
                <a:cubicBezTo>
                  <a:pt x="104335" y="192663"/>
                  <a:pt x="104335" y="192663"/>
                  <a:pt x="104335" y="192663"/>
                </a:cubicBezTo>
                <a:cubicBezTo>
                  <a:pt x="101437" y="202803"/>
                  <a:pt x="99988" y="210046"/>
                  <a:pt x="98539" y="214392"/>
                </a:cubicBezTo>
                <a:cubicBezTo>
                  <a:pt x="97090" y="218738"/>
                  <a:pt x="94191" y="223084"/>
                  <a:pt x="89844" y="225981"/>
                </a:cubicBezTo>
                <a:cubicBezTo>
                  <a:pt x="85497" y="228878"/>
                  <a:pt x="79700" y="231775"/>
                  <a:pt x="72455" y="231775"/>
                </a:cubicBezTo>
                <a:cubicBezTo>
                  <a:pt x="66658" y="231775"/>
                  <a:pt x="62311" y="230327"/>
                  <a:pt x="59413" y="227429"/>
                </a:cubicBezTo>
                <a:cubicBezTo>
                  <a:pt x="55066" y="225981"/>
                  <a:pt x="52167" y="223084"/>
                  <a:pt x="50718" y="218738"/>
                </a:cubicBezTo>
                <a:cubicBezTo>
                  <a:pt x="47820" y="215841"/>
                  <a:pt x="46371" y="211495"/>
                  <a:pt x="44922" y="205700"/>
                </a:cubicBezTo>
                <a:cubicBezTo>
                  <a:pt x="43473" y="199906"/>
                  <a:pt x="42024" y="195560"/>
                  <a:pt x="40575" y="191215"/>
                </a:cubicBezTo>
                <a:cubicBezTo>
                  <a:pt x="2898" y="40561"/>
                  <a:pt x="2898" y="40561"/>
                  <a:pt x="2898" y="40561"/>
                </a:cubicBezTo>
                <a:cubicBezTo>
                  <a:pt x="1449" y="31869"/>
                  <a:pt x="0" y="24626"/>
                  <a:pt x="0" y="20280"/>
                </a:cubicBezTo>
                <a:cubicBezTo>
                  <a:pt x="0" y="14486"/>
                  <a:pt x="1449" y="10140"/>
                  <a:pt x="5796" y="5795"/>
                </a:cubicBezTo>
                <a:cubicBezTo>
                  <a:pt x="10143" y="1449"/>
                  <a:pt x="15940" y="0"/>
                  <a:pt x="21736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[0]!toggle_segment_red" textlink="">
        <xdr:nvSpPr>
          <xdr:cNvPr id="149" name="pos6_seg9">
            <a:extLst>
              <a:ext uri="{FF2B5EF4-FFF2-40B4-BE49-F238E27FC236}">
                <a16:creationId xmlns:a16="http://schemas.microsoft.com/office/drawing/2014/main" id="{6ACAE3EA-0B97-1622-C999-A1B6C56E1401}"/>
              </a:ext>
            </a:extLst>
          </xdr:cNvPr>
          <xdr:cNvSpPr>
            <a:spLocks noChangeArrowheads="1"/>
          </xdr:cNvSpPr>
        </xdr:nvSpPr>
        <xdr:spPr bwMode="auto">
          <a:xfrm>
            <a:off x="4457700" y="2220913"/>
            <a:ext cx="885826" cy="231775"/>
          </a:xfrm>
          <a:custGeom>
            <a:avLst/>
            <a:gdLst>
              <a:gd name="connsiteX0" fmla="*/ 103982 w 885826"/>
              <a:gd name="connsiteY0" fmla="*/ 39687 h 231775"/>
              <a:gd name="connsiteX1" fmla="*/ 28575 w 885826"/>
              <a:gd name="connsiteY1" fmla="*/ 114300 h 231775"/>
              <a:gd name="connsiteX2" fmla="*/ 103982 w 885826"/>
              <a:gd name="connsiteY2" fmla="*/ 188913 h 231775"/>
              <a:gd name="connsiteX3" fmla="*/ 179389 w 885826"/>
              <a:gd name="connsiteY3" fmla="*/ 114300 h 231775"/>
              <a:gd name="connsiteX4" fmla="*/ 103982 w 885826"/>
              <a:gd name="connsiteY4" fmla="*/ 39687 h 231775"/>
              <a:gd name="connsiteX5" fmla="*/ 306388 w 885826"/>
              <a:gd name="connsiteY5" fmla="*/ 38100 h 231775"/>
              <a:gd name="connsiteX6" fmla="*/ 306388 w 885826"/>
              <a:gd name="connsiteY6" fmla="*/ 98425 h 231775"/>
              <a:gd name="connsiteX7" fmla="*/ 346605 w 885826"/>
              <a:gd name="connsiteY7" fmla="*/ 98425 h 231775"/>
              <a:gd name="connsiteX8" fmla="*/ 373895 w 885826"/>
              <a:gd name="connsiteY8" fmla="*/ 95553 h 231775"/>
              <a:gd name="connsiteX9" fmla="*/ 391131 w 885826"/>
              <a:gd name="connsiteY9" fmla="*/ 86935 h 231775"/>
              <a:gd name="connsiteX10" fmla="*/ 396876 w 885826"/>
              <a:gd name="connsiteY10" fmla="*/ 68263 h 231775"/>
              <a:gd name="connsiteX11" fmla="*/ 392567 w 885826"/>
              <a:gd name="connsiteY11" fmla="*/ 52463 h 231775"/>
              <a:gd name="connsiteX12" fmla="*/ 379640 w 885826"/>
              <a:gd name="connsiteY12" fmla="*/ 40973 h 231775"/>
              <a:gd name="connsiteX13" fmla="*/ 348041 w 885826"/>
              <a:gd name="connsiteY13" fmla="*/ 38100 h 231775"/>
              <a:gd name="connsiteX14" fmla="*/ 306388 w 885826"/>
              <a:gd name="connsiteY14" fmla="*/ 38100 h 231775"/>
              <a:gd name="connsiteX15" fmla="*/ 104775 w 885826"/>
              <a:gd name="connsiteY15" fmla="*/ 9525 h 231775"/>
              <a:gd name="connsiteX16" fmla="*/ 209550 w 885826"/>
              <a:gd name="connsiteY16" fmla="*/ 114300 h 231775"/>
              <a:gd name="connsiteX17" fmla="*/ 104775 w 885826"/>
              <a:gd name="connsiteY17" fmla="*/ 219075 h 231775"/>
              <a:gd name="connsiteX18" fmla="*/ 0 w 885826"/>
              <a:gd name="connsiteY18" fmla="*/ 114300 h 231775"/>
              <a:gd name="connsiteX19" fmla="*/ 104775 w 885826"/>
              <a:gd name="connsiteY19" fmla="*/ 9525 h 231775"/>
              <a:gd name="connsiteX20" fmla="*/ 514991 w 885826"/>
              <a:gd name="connsiteY20" fmla="*/ 3175 h 231775"/>
              <a:gd name="connsiteX21" fmla="*/ 634227 w 885826"/>
              <a:gd name="connsiteY21" fmla="*/ 3175 h 231775"/>
              <a:gd name="connsiteX22" fmla="*/ 651677 w 885826"/>
              <a:gd name="connsiteY22" fmla="*/ 8951 h 231775"/>
              <a:gd name="connsiteX23" fmla="*/ 656039 w 885826"/>
              <a:gd name="connsiteY23" fmla="*/ 20505 h 231775"/>
              <a:gd name="connsiteX24" fmla="*/ 651677 w 885826"/>
              <a:gd name="connsiteY24" fmla="*/ 33502 h 231775"/>
              <a:gd name="connsiteX25" fmla="*/ 634227 w 885826"/>
              <a:gd name="connsiteY25" fmla="*/ 39278 h 231775"/>
              <a:gd name="connsiteX26" fmla="*/ 532440 w 885826"/>
              <a:gd name="connsiteY26" fmla="*/ 39278 h 231775"/>
              <a:gd name="connsiteX27" fmla="*/ 532440 w 885826"/>
              <a:gd name="connsiteY27" fmla="*/ 94154 h 231775"/>
              <a:gd name="connsiteX28" fmla="*/ 626957 w 885826"/>
              <a:gd name="connsiteY28" fmla="*/ 94154 h 231775"/>
              <a:gd name="connsiteX29" fmla="*/ 642952 w 885826"/>
              <a:gd name="connsiteY29" fmla="*/ 98487 h 231775"/>
              <a:gd name="connsiteX30" fmla="*/ 647314 w 885826"/>
              <a:gd name="connsiteY30" fmla="*/ 110040 h 231775"/>
              <a:gd name="connsiteX31" fmla="*/ 642952 w 885826"/>
              <a:gd name="connsiteY31" fmla="*/ 123037 h 231775"/>
              <a:gd name="connsiteX32" fmla="*/ 626957 w 885826"/>
              <a:gd name="connsiteY32" fmla="*/ 127369 h 231775"/>
              <a:gd name="connsiteX33" fmla="*/ 532440 w 885826"/>
              <a:gd name="connsiteY33" fmla="*/ 127369 h 231775"/>
              <a:gd name="connsiteX34" fmla="*/ 532440 w 885826"/>
              <a:gd name="connsiteY34" fmla="*/ 190910 h 231775"/>
              <a:gd name="connsiteX35" fmla="*/ 638590 w 885826"/>
              <a:gd name="connsiteY35" fmla="*/ 190910 h 231775"/>
              <a:gd name="connsiteX36" fmla="*/ 654585 w 885826"/>
              <a:gd name="connsiteY36" fmla="*/ 196687 h 231775"/>
              <a:gd name="connsiteX37" fmla="*/ 660401 w 885826"/>
              <a:gd name="connsiteY37" fmla="*/ 209684 h 231775"/>
              <a:gd name="connsiteX38" fmla="*/ 654585 w 885826"/>
              <a:gd name="connsiteY38" fmla="*/ 222681 h 231775"/>
              <a:gd name="connsiteX39" fmla="*/ 638590 w 885826"/>
              <a:gd name="connsiteY39" fmla="*/ 227013 h 231775"/>
              <a:gd name="connsiteX40" fmla="*/ 514991 w 885826"/>
              <a:gd name="connsiteY40" fmla="*/ 227013 h 231775"/>
              <a:gd name="connsiteX41" fmla="*/ 493180 w 885826"/>
              <a:gd name="connsiteY41" fmla="*/ 219793 h 231775"/>
              <a:gd name="connsiteX42" fmla="*/ 487363 w 885826"/>
              <a:gd name="connsiteY42" fmla="*/ 199575 h 231775"/>
              <a:gd name="connsiteX43" fmla="*/ 487363 w 885826"/>
              <a:gd name="connsiteY43" fmla="*/ 32057 h 231775"/>
              <a:gd name="connsiteX44" fmla="*/ 490271 w 885826"/>
              <a:gd name="connsiteY44" fmla="*/ 16172 h 231775"/>
              <a:gd name="connsiteX45" fmla="*/ 498996 w 885826"/>
              <a:gd name="connsiteY45" fmla="*/ 6063 h 231775"/>
              <a:gd name="connsiteX46" fmla="*/ 514991 w 885826"/>
              <a:gd name="connsiteY46" fmla="*/ 3175 h 231775"/>
              <a:gd name="connsiteX47" fmla="*/ 287941 w 885826"/>
              <a:gd name="connsiteY47" fmla="*/ 3175 h 231775"/>
              <a:gd name="connsiteX48" fmla="*/ 361999 w 885826"/>
              <a:gd name="connsiteY48" fmla="*/ 3175 h 231775"/>
              <a:gd name="connsiteX49" fmla="*/ 388138 w 885826"/>
              <a:gd name="connsiteY49" fmla="*/ 4622 h 231775"/>
              <a:gd name="connsiteX50" fmla="*/ 408468 w 885826"/>
              <a:gd name="connsiteY50" fmla="*/ 10409 h 231775"/>
              <a:gd name="connsiteX51" fmla="*/ 427345 w 885826"/>
              <a:gd name="connsiteY51" fmla="*/ 23431 h 231775"/>
              <a:gd name="connsiteX52" fmla="*/ 438962 w 885826"/>
              <a:gd name="connsiteY52" fmla="*/ 42240 h 231775"/>
              <a:gd name="connsiteX53" fmla="*/ 443319 w 885826"/>
              <a:gd name="connsiteY53" fmla="*/ 65389 h 231775"/>
              <a:gd name="connsiteX54" fmla="*/ 428798 w 885826"/>
              <a:gd name="connsiteY54" fmla="*/ 105900 h 231775"/>
              <a:gd name="connsiteX55" fmla="*/ 386686 w 885826"/>
              <a:gd name="connsiteY55" fmla="*/ 126156 h 231775"/>
              <a:gd name="connsiteX56" fmla="*/ 409920 w 885826"/>
              <a:gd name="connsiteY56" fmla="*/ 144965 h 231775"/>
              <a:gd name="connsiteX57" fmla="*/ 428798 w 885826"/>
              <a:gd name="connsiteY57" fmla="*/ 172455 h 231775"/>
              <a:gd name="connsiteX58" fmla="*/ 441867 w 885826"/>
              <a:gd name="connsiteY58" fmla="*/ 197051 h 231775"/>
              <a:gd name="connsiteX59" fmla="*/ 447675 w 885826"/>
              <a:gd name="connsiteY59" fmla="*/ 212966 h 231775"/>
              <a:gd name="connsiteX60" fmla="*/ 444771 w 885826"/>
              <a:gd name="connsiteY60" fmla="*/ 221647 h 231775"/>
              <a:gd name="connsiteX61" fmla="*/ 436058 w 885826"/>
              <a:gd name="connsiteY61" fmla="*/ 228881 h 231775"/>
              <a:gd name="connsiteX62" fmla="*/ 425893 w 885826"/>
              <a:gd name="connsiteY62" fmla="*/ 231775 h 231775"/>
              <a:gd name="connsiteX63" fmla="*/ 412824 w 885826"/>
              <a:gd name="connsiteY63" fmla="*/ 227435 h 231775"/>
              <a:gd name="connsiteX64" fmla="*/ 404111 w 885826"/>
              <a:gd name="connsiteY64" fmla="*/ 218754 h 231775"/>
              <a:gd name="connsiteX65" fmla="*/ 393946 w 885826"/>
              <a:gd name="connsiteY65" fmla="*/ 202838 h 231775"/>
              <a:gd name="connsiteX66" fmla="*/ 375069 w 885826"/>
              <a:gd name="connsiteY66" fmla="*/ 172455 h 231775"/>
              <a:gd name="connsiteX67" fmla="*/ 357643 w 885826"/>
              <a:gd name="connsiteY67" fmla="*/ 146412 h 231775"/>
              <a:gd name="connsiteX68" fmla="*/ 341670 w 885826"/>
              <a:gd name="connsiteY68" fmla="*/ 134837 h 231775"/>
              <a:gd name="connsiteX69" fmla="*/ 321340 w 885826"/>
              <a:gd name="connsiteY69" fmla="*/ 131943 h 231775"/>
              <a:gd name="connsiteX70" fmla="*/ 305366 w 885826"/>
              <a:gd name="connsiteY70" fmla="*/ 131943 h 231775"/>
              <a:gd name="connsiteX71" fmla="*/ 305366 w 885826"/>
              <a:gd name="connsiteY71" fmla="*/ 204285 h 231775"/>
              <a:gd name="connsiteX72" fmla="*/ 299558 w 885826"/>
              <a:gd name="connsiteY72" fmla="*/ 224541 h 231775"/>
              <a:gd name="connsiteX73" fmla="*/ 283584 w 885826"/>
              <a:gd name="connsiteY73" fmla="*/ 231775 h 231775"/>
              <a:gd name="connsiteX74" fmla="*/ 266159 w 885826"/>
              <a:gd name="connsiteY74" fmla="*/ 224541 h 231775"/>
              <a:gd name="connsiteX75" fmla="*/ 260350 w 885826"/>
              <a:gd name="connsiteY75" fmla="*/ 204285 h 231775"/>
              <a:gd name="connsiteX76" fmla="*/ 260350 w 885826"/>
              <a:gd name="connsiteY76" fmla="*/ 32112 h 231775"/>
              <a:gd name="connsiteX77" fmla="*/ 267611 w 885826"/>
              <a:gd name="connsiteY77" fmla="*/ 10409 h 231775"/>
              <a:gd name="connsiteX78" fmla="*/ 287941 w 885826"/>
              <a:gd name="connsiteY78" fmla="*/ 3175 h 231775"/>
              <a:gd name="connsiteX79" fmla="*/ 793125 w 885826"/>
              <a:gd name="connsiteY79" fmla="*/ 0 h 231775"/>
              <a:gd name="connsiteX80" fmla="*/ 842373 w 885826"/>
              <a:gd name="connsiteY80" fmla="*/ 10140 h 231775"/>
              <a:gd name="connsiteX81" fmla="*/ 874239 w 885826"/>
              <a:gd name="connsiteY81" fmla="*/ 37664 h 231775"/>
              <a:gd name="connsiteX82" fmla="*/ 885826 w 885826"/>
              <a:gd name="connsiteY82" fmla="*/ 68084 h 231775"/>
              <a:gd name="connsiteX83" fmla="*/ 880032 w 885826"/>
              <a:gd name="connsiteY83" fmla="*/ 81121 h 231775"/>
              <a:gd name="connsiteX84" fmla="*/ 866996 w 885826"/>
              <a:gd name="connsiteY84" fmla="*/ 86916 h 231775"/>
              <a:gd name="connsiteX85" fmla="*/ 853960 w 885826"/>
              <a:gd name="connsiteY85" fmla="*/ 82570 h 231775"/>
              <a:gd name="connsiteX86" fmla="*/ 843821 w 885826"/>
              <a:gd name="connsiteY86" fmla="*/ 69533 h 231775"/>
              <a:gd name="connsiteX87" fmla="*/ 823543 w 885826"/>
              <a:gd name="connsiteY87" fmla="*/ 43458 h 231775"/>
              <a:gd name="connsiteX88" fmla="*/ 793125 w 885826"/>
              <a:gd name="connsiteY88" fmla="*/ 36215 h 231775"/>
              <a:gd name="connsiteX89" fmla="*/ 749672 w 885826"/>
              <a:gd name="connsiteY89" fmla="*/ 56495 h 231775"/>
              <a:gd name="connsiteX90" fmla="*/ 732290 w 885826"/>
              <a:gd name="connsiteY90" fmla="*/ 117336 h 231775"/>
              <a:gd name="connsiteX91" fmla="*/ 739533 w 885826"/>
              <a:gd name="connsiteY91" fmla="*/ 160794 h 231775"/>
              <a:gd name="connsiteX92" fmla="*/ 761259 w 885826"/>
              <a:gd name="connsiteY92" fmla="*/ 186869 h 231775"/>
              <a:gd name="connsiteX93" fmla="*/ 791677 w 885826"/>
              <a:gd name="connsiteY93" fmla="*/ 195560 h 231775"/>
              <a:gd name="connsiteX94" fmla="*/ 824991 w 885826"/>
              <a:gd name="connsiteY94" fmla="*/ 185420 h 231775"/>
              <a:gd name="connsiteX95" fmla="*/ 845270 w 885826"/>
              <a:gd name="connsiteY95" fmla="*/ 156448 h 231775"/>
              <a:gd name="connsiteX96" fmla="*/ 852512 w 885826"/>
              <a:gd name="connsiteY96" fmla="*/ 141962 h 231775"/>
              <a:gd name="connsiteX97" fmla="*/ 866996 w 885826"/>
              <a:gd name="connsiteY97" fmla="*/ 137617 h 231775"/>
              <a:gd name="connsiteX98" fmla="*/ 880032 w 885826"/>
              <a:gd name="connsiteY98" fmla="*/ 141962 h 231775"/>
              <a:gd name="connsiteX99" fmla="*/ 885826 w 885826"/>
              <a:gd name="connsiteY99" fmla="*/ 156448 h 231775"/>
              <a:gd name="connsiteX100" fmla="*/ 881481 w 885826"/>
              <a:gd name="connsiteY100" fmla="*/ 179626 h 231775"/>
              <a:gd name="connsiteX101" fmla="*/ 864099 w 885826"/>
              <a:gd name="connsiteY101" fmla="*/ 204252 h 231775"/>
              <a:gd name="connsiteX102" fmla="*/ 835130 w 885826"/>
              <a:gd name="connsiteY102" fmla="*/ 223084 h 231775"/>
              <a:gd name="connsiteX103" fmla="*/ 794574 w 885826"/>
              <a:gd name="connsiteY103" fmla="*/ 231775 h 231775"/>
              <a:gd name="connsiteX104" fmla="*/ 762708 w 885826"/>
              <a:gd name="connsiteY104" fmla="*/ 227429 h 231775"/>
              <a:gd name="connsiteX105" fmla="*/ 736636 w 885826"/>
              <a:gd name="connsiteY105" fmla="*/ 217289 h 231775"/>
              <a:gd name="connsiteX106" fmla="*/ 714909 w 885826"/>
              <a:gd name="connsiteY106" fmla="*/ 198457 h 231775"/>
              <a:gd name="connsiteX107" fmla="*/ 698976 w 885826"/>
              <a:gd name="connsiteY107" fmla="*/ 175280 h 231775"/>
              <a:gd name="connsiteX108" fmla="*/ 690285 w 885826"/>
              <a:gd name="connsiteY108" fmla="*/ 147757 h 231775"/>
              <a:gd name="connsiteX109" fmla="*/ 687388 w 885826"/>
              <a:gd name="connsiteY109" fmla="*/ 115888 h 231775"/>
              <a:gd name="connsiteX110" fmla="*/ 694631 w 885826"/>
              <a:gd name="connsiteY110" fmla="*/ 66635 h 231775"/>
              <a:gd name="connsiteX111" fmla="*/ 717806 w 885826"/>
              <a:gd name="connsiteY111" fmla="*/ 30421 h 231775"/>
              <a:gd name="connsiteX112" fmla="*/ 751120 w 885826"/>
              <a:gd name="connsiteY112" fmla="*/ 7243 h 231775"/>
              <a:gd name="connsiteX113" fmla="*/ 793125 w 885826"/>
              <a:gd name="connsiteY113" fmla="*/ 0 h 23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85826" h="231775">
                <a:moveTo>
                  <a:pt x="103982" y="39687"/>
                </a:moveTo>
                <a:cubicBezTo>
                  <a:pt x="62336" y="39687"/>
                  <a:pt x="28575" y="73092"/>
                  <a:pt x="28575" y="114300"/>
                </a:cubicBezTo>
                <a:cubicBezTo>
                  <a:pt x="28575" y="155508"/>
                  <a:pt x="62336" y="188913"/>
                  <a:pt x="103982" y="188913"/>
                </a:cubicBezTo>
                <a:cubicBezTo>
                  <a:pt x="145628" y="188913"/>
                  <a:pt x="179389" y="155508"/>
                  <a:pt x="179389" y="114300"/>
                </a:cubicBezTo>
                <a:cubicBezTo>
                  <a:pt x="179389" y="73092"/>
                  <a:pt x="145628" y="39687"/>
                  <a:pt x="103982" y="39687"/>
                </a:cubicBezTo>
                <a:close/>
                <a:moveTo>
                  <a:pt x="306388" y="38100"/>
                </a:moveTo>
                <a:cubicBezTo>
                  <a:pt x="306388" y="98425"/>
                  <a:pt x="306388" y="98425"/>
                  <a:pt x="306388" y="98425"/>
                </a:cubicBezTo>
                <a:cubicBezTo>
                  <a:pt x="346605" y="98425"/>
                  <a:pt x="346605" y="98425"/>
                  <a:pt x="346605" y="98425"/>
                </a:cubicBezTo>
                <a:cubicBezTo>
                  <a:pt x="358096" y="98425"/>
                  <a:pt x="366714" y="98425"/>
                  <a:pt x="373895" y="95553"/>
                </a:cubicBezTo>
                <a:cubicBezTo>
                  <a:pt x="381077" y="94116"/>
                  <a:pt x="386822" y="91244"/>
                  <a:pt x="391131" y="86935"/>
                </a:cubicBezTo>
                <a:cubicBezTo>
                  <a:pt x="395440" y="82626"/>
                  <a:pt x="396876" y="75444"/>
                  <a:pt x="396876" y="68263"/>
                </a:cubicBezTo>
                <a:cubicBezTo>
                  <a:pt x="396876" y="62517"/>
                  <a:pt x="395440" y="56772"/>
                  <a:pt x="392567" y="52463"/>
                </a:cubicBezTo>
                <a:cubicBezTo>
                  <a:pt x="389695" y="46718"/>
                  <a:pt x="385386" y="43845"/>
                  <a:pt x="379640" y="40973"/>
                </a:cubicBezTo>
                <a:cubicBezTo>
                  <a:pt x="373895" y="39536"/>
                  <a:pt x="363841" y="38100"/>
                  <a:pt x="348041" y="38100"/>
                </a:cubicBezTo>
                <a:cubicBezTo>
                  <a:pt x="306388" y="38100"/>
                  <a:pt x="306388" y="38100"/>
                  <a:pt x="306388" y="38100"/>
                </a:cubicBezTo>
                <a:close/>
                <a:moveTo>
                  <a:pt x="104775" y="9525"/>
                </a:moveTo>
                <a:cubicBezTo>
                  <a:pt x="162641" y="9525"/>
                  <a:pt x="209550" y="56434"/>
                  <a:pt x="209550" y="114300"/>
                </a:cubicBezTo>
                <a:cubicBezTo>
                  <a:pt x="209550" y="172166"/>
                  <a:pt x="162641" y="219075"/>
                  <a:pt x="104775" y="219075"/>
                </a:cubicBezTo>
                <a:cubicBezTo>
                  <a:pt x="46909" y="219075"/>
                  <a:pt x="0" y="172166"/>
                  <a:pt x="0" y="114300"/>
                </a:cubicBezTo>
                <a:cubicBezTo>
                  <a:pt x="0" y="56434"/>
                  <a:pt x="46909" y="9525"/>
                  <a:pt x="104775" y="9525"/>
                </a:cubicBezTo>
                <a:close/>
                <a:moveTo>
                  <a:pt x="514991" y="3175"/>
                </a:moveTo>
                <a:cubicBezTo>
                  <a:pt x="634227" y="3175"/>
                  <a:pt x="634227" y="3175"/>
                  <a:pt x="634227" y="3175"/>
                </a:cubicBezTo>
                <a:cubicBezTo>
                  <a:pt x="641498" y="3175"/>
                  <a:pt x="647314" y="4619"/>
                  <a:pt x="651677" y="8951"/>
                </a:cubicBezTo>
                <a:cubicBezTo>
                  <a:pt x="654585" y="11840"/>
                  <a:pt x="656039" y="16172"/>
                  <a:pt x="656039" y="20505"/>
                </a:cubicBezTo>
                <a:cubicBezTo>
                  <a:pt x="656039" y="26281"/>
                  <a:pt x="654585" y="30613"/>
                  <a:pt x="651677" y="33502"/>
                </a:cubicBezTo>
                <a:cubicBezTo>
                  <a:pt x="647314" y="36390"/>
                  <a:pt x="641498" y="39278"/>
                  <a:pt x="634227" y="39278"/>
                </a:cubicBezTo>
                <a:cubicBezTo>
                  <a:pt x="532440" y="39278"/>
                  <a:pt x="532440" y="39278"/>
                  <a:pt x="532440" y="39278"/>
                </a:cubicBezTo>
                <a:cubicBezTo>
                  <a:pt x="532440" y="94154"/>
                  <a:pt x="532440" y="94154"/>
                  <a:pt x="532440" y="94154"/>
                </a:cubicBezTo>
                <a:cubicBezTo>
                  <a:pt x="626957" y="94154"/>
                  <a:pt x="626957" y="94154"/>
                  <a:pt x="626957" y="94154"/>
                </a:cubicBezTo>
                <a:cubicBezTo>
                  <a:pt x="634227" y="94154"/>
                  <a:pt x="638590" y="95599"/>
                  <a:pt x="642952" y="98487"/>
                </a:cubicBezTo>
                <a:cubicBezTo>
                  <a:pt x="645860" y="101375"/>
                  <a:pt x="647314" y="105707"/>
                  <a:pt x="647314" y="110040"/>
                </a:cubicBezTo>
                <a:cubicBezTo>
                  <a:pt x="647314" y="115816"/>
                  <a:pt x="645860" y="120149"/>
                  <a:pt x="642952" y="123037"/>
                </a:cubicBezTo>
                <a:cubicBezTo>
                  <a:pt x="638590" y="125925"/>
                  <a:pt x="634227" y="127369"/>
                  <a:pt x="626957" y="127369"/>
                </a:cubicBezTo>
                <a:cubicBezTo>
                  <a:pt x="532440" y="127369"/>
                  <a:pt x="532440" y="127369"/>
                  <a:pt x="532440" y="127369"/>
                </a:cubicBezTo>
                <a:cubicBezTo>
                  <a:pt x="532440" y="190910"/>
                  <a:pt x="532440" y="190910"/>
                  <a:pt x="532440" y="190910"/>
                </a:cubicBezTo>
                <a:cubicBezTo>
                  <a:pt x="638590" y="190910"/>
                  <a:pt x="638590" y="190910"/>
                  <a:pt x="638590" y="190910"/>
                </a:cubicBezTo>
                <a:cubicBezTo>
                  <a:pt x="645860" y="190910"/>
                  <a:pt x="651677" y="192354"/>
                  <a:pt x="654585" y="196687"/>
                </a:cubicBezTo>
                <a:cubicBezTo>
                  <a:pt x="657493" y="199575"/>
                  <a:pt x="660401" y="203907"/>
                  <a:pt x="660401" y="209684"/>
                </a:cubicBezTo>
                <a:cubicBezTo>
                  <a:pt x="660401" y="214016"/>
                  <a:pt x="657493" y="218348"/>
                  <a:pt x="654585" y="222681"/>
                </a:cubicBezTo>
                <a:cubicBezTo>
                  <a:pt x="651677" y="225569"/>
                  <a:pt x="645860" y="227013"/>
                  <a:pt x="638590" y="227013"/>
                </a:cubicBezTo>
                <a:cubicBezTo>
                  <a:pt x="514991" y="227013"/>
                  <a:pt x="514991" y="227013"/>
                  <a:pt x="514991" y="227013"/>
                </a:cubicBezTo>
                <a:cubicBezTo>
                  <a:pt x="504812" y="227013"/>
                  <a:pt x="497542" y="224125"/>
                  <a:pt x="493180" y="219793"/>
                </a:cubicBezTo>
                <a:cubicBezTo>
                  <a:pt x="488817" y="215460"/>
                  <a:pt x="487363" y="209684"/>
                  <a:pt x="487363" y="199575"/>
                </a:cubicBezTo>
                <a:cubicBezTo>
                  <a:pt x="487363" y="32057"/>
                  <a:pt x="487363" y="32057"/>
                  <a:pt x="487363" y="32057"/>
                </a:cubicBezTo>
                <a:cubicBezTo>
                  <a:pt x="487363" y="24837"/>
                  <a:pt x="487363" y="19060"/>
                  <a:pt x="490271" y="16172"/>
                </a:cubicBezTo>
                <a:cubicBezTo>
                  <a:pt x="491726" y="11840"/>
                  <a:pt x="494634" y="8951"/>
                  <a:pt x="498996" y="6063"/>
                </a:cubicBezTo>
                <a:cubicBezTo>
                  <a:pt x="503358" y="4619"/>
                  <a:pt x="507721" y="3175"/>
                  <a:pt x="514991" y="3175"/>
                </a:cubicBezTo>
                <a:close/>
                <a:moveTo>
                  <a:pt x="287941" y="3175"/>
                </a:moveTo>
                <a:cubicBezTo>
                  <a:pt x="361999" y="3175"/>
                  <a:pt x="361999" y="3175"/>
                  <a:pt x="361999" y="3175"/>
                </a:cubicBezTo>
                <a:cubicBezTo>
                  <a:pt x="372164" y="3175"/>
                  <a:pt x="380877" y="4622"/>
                  <a:pt x="388138" y="4622"/>
                </a:cubicBezTo>
                <a:cubicBezTo>
                  <a:pt x="395398" y="6069"/>
                  <a:pt x="402659" y="7515"/>
                  <a:pt x="408468" y="10409"/>
                </a:cubicBezTo>
                <a:cubicBezTo>
                  <a:pt x="415728" y="13303"/>
                  <a:pt x="421537" y="17643"/>
                  <a:pt x="427345" y="23431"/>
                </a:cubicBezTo>
                <a:cubicBezTo>
                  <a:pt x="431702" y="27771"/>
                  <a:pt x="436058" y="35006"/>
                  <a:pt x="438962" y="42240"/>
                </a:cubicBezTo>
                <a:cubicBezTo>
                  <a:pt x="441867" y="49474"/>
                  <a:pt x="443319" y="56708"/>
                  <a:pt x="443319" y="65389"/>
                </a:cubicBezTo>
                <a:cubicBezTo>
                  <a:pt x="443319" y="81304"/>
                  <a:pt x="438962" y="95773"/>
                  <a:pt x="428798" y="105900"/>
                </a:cubicBezTo>
                <a:cubicBezTo>
                  <a:pt x="420085" y="114581"/>
                  <a:pt x="405563" y="121816"/>
                  <a:pt x="386686" y="126156"/>
                </a:cubicBezTo>
                <a:cubicBezTo>
                  <a:pt x="393946" y="130497"/>
                  <a:pt x="401207" y="136284"/>
                  <a:pt x="409920" y="144965"/>
                </a:cubicBezTo>
                <a:cubicBezTo>
                  <a:pt x="417180" y="153646"/>
                  <a:pt x="422989" y="162327"/>
                  <a:pt x="428798" y="172455"/>
                </a:cubicBezTo>
                <a:cubicBezTo>
                  <a:pt x="434606" y="181136"/>
                  <a:pt x="438962" y="189817"/>
                  <a:pt x="441867" y="197051"/>
                </a:cubicBezTo>
                <a:cubicBezTo>
                  <a:pt x="446223" y="205732"/>
                  <a:pt x="447675" y="210073"/>
                  <a:pt x="447675" y="212966"/>
                </a:cubicBezTo>
                <a:cubicBezTo>
                  <a:pt x="447675" y="215860"/>
                  <a:pt x="446223" y="218754"/>
                  <a:pt x="444771" y="221647"/>
                </a:cubicBezTo>
                <a:cubicBezTo>
                  <a:pt x="441867" y="224541"/>
                  <a:pt x="440415" y="227435"/>
                  <a:pt x="436058" y="228881"/>
                </a:cubicBezTo>
                <a:cubicBezTo>
                  <a:pt x="433154" y="230328"/>
                  <a:pt x="430250" y="231775"/>
                  <a:pt x="425893" y="231775"/>
                </a:cubicBezTo>
                <a:cubicBezTo>
                  <a:pt x="420085" y="231775"/>
                  <a:pt x="415728" y="230328"/>
                  <a:pt x="412824" y="227435"/>
                </a:cubicBezTo>
                <a:cubicBezTo>
                  <a:pt x="408468" y="225988"/>
                  <a:pt x="405563" y="221647"/>
                  <a:pt x="404111" y="218754"/>
                </a:cubicBezTo>
                <a:cubicBezTo>
                  <a:pt x="401207" y="214413"/>
                  <a:pt x="396851" y="210073"/>
                  <a:pt x="393946" y="202838"/>
                </a:cubicBezTo>
                <a:cubicBezTo>
                  <a:pt x="375069" y="172455"/>
                  <a:pt x="375069" y="172455"/>
                  <a:pt x="375069" y="172455"/>
                </a:cubicBezTo>
                <a:cubicBezTo>
                  <a:pt x="367808" y="160880"/>
                  <a:pt x="361999" y="152199"/>
                  <a:pt x="357643" y="146412"/>
                </a:cubicBezTo>
                <a:cubicBezTo>
                  <a:pt x="351835" y="140624"/>
                  <a:pt x="347478" y="137731"/>
                  <a:pt x="341670" y="134837"/>
                </a:cubicBezTo>
                <a:cubicBezTo>
                  <a:pt x="335861" y="133390"/>
                  <a:pt x="330053" y="131943"/>
                  <a:pt x="321340" y="131943"/>
                </a:cubicBezTo>
                <a:cubicBezTo>
                  <a:pt x="305366" y="131943"/>
                  <a:pt x="305366" y="131943"/>
                  <a:pt x="305366" y="131943"/>
                </a:cubicBezTo>
                <a:cubicBezTo>
                  <a:pt x="305366" y="204285"/>
                  <a:pt x="305366" y="204285"/>
                  <a:pt x="305366" y="204285"/>
                </a:cubicBezTo>
                <a:cubicBezTo>
                  <a:pt x="305366" y="212966"/>
                  <a:pt x="303914" y="220200"/>
                  <a:pt x="299558" y="224541"/>
                </a:cubicBezTo>
                <a:cubicBezTo>
                  <a:pt x="295201" y="228881"/>
                  <a:pt x="289393" y="231775"/>
                  <a:pt x="283584" y="231775"/>
                </a:cubicBezTo>
                <a:cubicBezTo>
                  <a:pt x="276324" y="231775"/>
                  <a:pt x="270515" y="228881"/>
                  <a:pt x="266159" y="224541"/>
                </a:cubicBezTo>
                <a:cubicBezTo>
                  <a:pt x="261802" y="220200"/>
                  <a:pt x="260350" y="212966"/>
                  <a:pt x="260350" y="204285"/>
                </a:cubicBezTo>
                <a:cubicBezTo>
                  <a:pt x="260350" y="32112"/>
                  <a:pt x="260350" y="32112"/>
                  <a:pt x="260350" y="32112"/>
                </a:cubicBezTo>
                <a:cubicBezTo>
                  <a:pt x="260350" y="21984"/>
                  <a:pt x="263255" y="14750"/>
                  <a:pt x="267611" y="10409"/>
                </a:cubicBezTo>
                <a:cubicBezTo>
                  <a:pt x="271967" y="6069"/>
                  <a:pt x="277776" y="3175"/>
                  <a:pt x="287941" y="3175"/>
                </a:cubicBezTo>
                <a:close/>
                <a:moveTo>
                  <a:pt x="793125" y="0"/>
                </a:moveTo>
                <a:cubicBezTo>
                  <a:pt x="811955" y="0"/>
                  <a:pt x="827888" y="2897"/>
                  <a:pt x="842373" y="10140"/>
                </a:cubicBezTo>
                <a:cubicBezTo>
                  <a:pt x="855409" y="17383"/>
                  <a:pt x="866996" y="26075"/>
                  <a:pt x="874239" y="37664"/>
                </a:cubicBezTo>
                <a:cubicBezTo>
                  <a:pt x="881481" y="47804"/>
                  <a:pt x="885826" y="57944"/>
                  <a:pt x="885826" y="68084"/>
                </a:cubicBezTo>
                <a:cubicBezTo>
                  <a:pt x="885826" y="72430"/>
                  <a:pt x="884378" y="76776"/>
                  <a:pt x="880032" y="81121"/>
                </a:cubicBezTo>
                <a:cubicBezTo>
                  <a:pt x="877136" y="85467"/>
                  <a:pt x="872790" y="86916"/>
                  <a:pt x="866996" y="86916"/>
                </a:cubicBezTo>
                <a:cubicBezTo>
                  <a:pt x="861203" y="86916"/>
                  <a:pt x="856857" y="85467"/>
                  <a:pt x="853960" y="82570"/>
                </a:cubicBezTo>
                <a:cubicBezTo>
                  <a:pt x="851063" y="79673"/>
                  <a:pt x="848166" y="75327"/>
                  <a:pt x="843821" y="69533"/>
                </a:cubicBezTo>
                <a:cubicBezTo>
                  <a:pt x="838027" y="57944"/>
                  <a:pt x="830785" y="49252"/>
                  <a:pt x="823543" y="43458"/>
                </a:cubicBezTo>
                <a:cubicBezTo>
                  <a:pt x="814852" y="39112"/>
                  <a:pt x="806161" y="36215"/>
                  <a:pt x="793125" y="36215"/>
                </a:cubicBezTo>
                <a:cubicBezTo>
                  <a:pt x="775744" y="36215"/>
                  <a:pt x="759811" y="43458"/>
                  <a:pt x="749672" y="56495"/>
                </a:cubicBezTo>
                <a:cubicBezTo>
                  <a:pt x="738084" y="70981"/>
                  <a:pt x="732290" y="91262"/>
                  <a:pt x="732290" y="117336"/>
                </a:cubicBezTo>
                <a:cubicBezTo>
                  <a:pt x="732290" y="134719"/>
                  <a:pt x="735187" y="149205"/>
                  <a:pt x="739533" y="160794"/>
                </a:cubicBezTo>
                <a:cubicBezTo>
                  <a:pt x="745326" y="172383"/>
                  <a:pt x="751120" y="181074"/>
                  <a:pt x="761259" y="186869"/>
                </a:cubicBezTo>
                <a:cubicBezTo>
                  <a:pt x="769950" y="192663"/>
                  <a:pt x="780089" y="195560"/>
                  <a:pt x="791677" y="195560"/>
                </a:cubicBezTo>
                <a:cubicBezTo>
                  <a:pt x="804713" y="195560"/>
                  <a:pt x="816301" y="192663"/>
                  <a:pt x="824991" y="185420"/>
                </a:cubicBezTo>
                <a:cubicBezTo>
                  <a:pt x="833682" y="179626"/>
                  <a:pt x="840924" y="169486"/>
                  <a:pt x="845270" y="156448"/>
                </a:cubicBezTo>
                <a:cubicBezTo>
                  <a:pt x="848166" y="150654"/>
                  <a:pt x="849615" y="146308"/>
                  <a:pt x="852512" y="141962"/>
                </a:cubicBezTo>
                <a:cubicBezTo>
                  <a:pt x="855409" y="139065"/>
                  <a:pt x="859754" y="137617"/>
                  <a:pt x="866996" y="137617"/>
                </a:cubicBezTo>
                <a:cubicBezTo>
                  <a:pt x="871342" y="137617"/>
                  <a:pt x="877136" y="139065"/>
                  <a:pt x="880032" y="141962"/>
                </a:cubicBezTo>
                <a:cubicBezTo>
                  <a:pt x="884378" y="146308"/>
                  <a:pt x="885826" y="150654"/>
                  <a:pt x="885826" y="156448"/>
                </a:cubicBezTo>
                <a:cubicBezTo>
                  <a:pt x="885826" y="163691"/>
                  <a:pt x="884378" y="170934"/>
                  <a:pt x="881481" y="179626"/>
                </a:cubicBezTo>
                <a:cubicBezTo>
                  <a:pt x="877136" y="188317"/>
                  <a:pt x="871342" y="197009"/>
                  <a:pt x="864099" y="204252"/>
                </a:cubicBezTo>
                <a:cubicBezTo>
                  <a:pt x="856857" y="212943"/>
                  <a:pt x="846718" y="218738"/>
                  <a:pt x="835130" y="223084"/>
                </a:cubicBezTo>
                <a:cubicBezTo>
                  <a:pt x="823543" y="228878"/>
                  <a:pt x="810507" y="231775"/>
                  <a:pt x="794574" y="231775"/>
                </a:cubicBezTo>
                <a:cubicBezTo>
                  <a:pt x="782986" y="231775"/>
                  <a:pt x="772847" y="230327"/>
                  <a:pt x="762708" y="227429"/>
                </a:cubicBezTo>
                <a:cubicBezTo>
                  <a:pt x="752569" y="225981"/>
                  <a:pt x="743878" y="221635"/>
                  <a:pt x="736636" y="217289"/>
                </a:cubicBezTo>
                <a:cubicBezTo>
                  <a:pt x="727945" y="212943"/>
                  <a:pt x="720703" y="207149"/>
                  <a:pt x="714909" y="198457"/>
                </a:cubicBezTo>
                <a:cubicBezTo>
                  <a:pt x="709115" y="191215"/>
                  <a:pt x="703321" y="183972"/>
                  <a:pt x="698976" y="175280"/>
                </a:cubicBezTo>
                <a:cubicBezTo>
                  <a:pt x="694631" y="166588"/>
                  <a:pt x="691734" y="156448"/>
                  <a:pt x="690285" y="147757"/>
                </a:cubicBezTo>
                <a:cubicBezTo>
                  <a:pt x="687388" y="137617"/>
                  <a:pt x="687388" y="127476"/>
                  <a:pt x="687388" y="115888"/>
                </a:cubicBezTo>
                <a:cubicBezTo>
                  <a:pt x="687388" y="97056"/>
                  <a:pt x="688837" y="81121"/>
                  <a:pt x="694631" y="66635"/>
                </a:cubicBezTo>
                <a:cubicBezTo>
                  <a:pt x="700424" y="53598"/>
                  <a:pt x="707667" y="40561"/>
                  <a:pt x="717806" y="30421"/>
                </a:cubicBezTo>
                <a:cubicBezTo>
                  <a:pt x="726496" y="20280"/>
                  <a:pt x="738084" y="13037"/>
                  <a:pt x="751120" y="7243"/>
                </a:cubicBezTo>
                <a:cubicBezTo>
                  <a:pt x="764156" y="2897"/>
                  <a:pt x="778641" y="0"/>
                  <a:pt x="793125" y="0"/>
                </a:cubicBezTo>
                <a:close/>
              </a:path>
            </a:pathLst>
          </a:custGeom>
          <a:solidFill>
            <a:srgbClr val="35383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A8E9-7768-45F6-9608-5E4B7C179974}">
  <sheetPr codeName="Sheet4"/>
  <dimension ref="B3:AG69"/>
  <sheetViews>
    <sheetView showGridLines="0" zoomScaleNormal="100" workbookViewId="0">
      <selection activeCell="AD26" sqref="AD26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0</v>
      </c>
      <c r="G23" s="7">
        <v>0</v>
      </c>
      <c r="H23" s="7">
        <v>1</v>
      </c>
      <c r="I23" s="7">
        <v>0</v>
      </c>
      <c r="J23" s="7">
        <v>1</v>
      </c>
      <c r="K23" s="7">
        <v>1</v>
      </c>
      <c r="L23" s="7">
        <v>0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1</v>
      </c>
      <c r="G24" s="7">
        <v>0</v>
      </c>
      <c r="H24" s="7">
        <v>0</v>
      </c>
      <c r="I24" s="7">
        <v>1</v>
      </c>
      <c r="J24" s="7">
        <v>0</v>
      </c>
      <c r="K24" s="7">
        <v>1</v>
      </c>
      <c r="L24" s="7">
        <v>1</v>
      </c>
      <c r="O24" s="3" t="str">
        <f>"pt6315_write_byte("&amp;F49&amp;"); // segments 7 - 0"</f>
        <v>pt6315_write_byte(B00100010);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0</v>
      </c>
      <c r="G25" s="7">
        <v>0</v>
      </c>
      <c r="H25" s="7">
        <v>0</v>
      </c>
      <c r="I25" s="7">
        <v>0</v>
      </c>
      <c r="J25" s="7">
        <v>1</v>
      </c>
      <c r="K25" s="7">
        <v>1</v>
      </c>
      <c r="L25" s="7">
        <v>1</v>
      </c>
      <c r="O25" s="3" t="str">
        <f>"pt6315_write_byte("&amp;F50&amp;"); // segments 15 - 8"</f>
        <v>pt6315_write_byte(B00100010);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0</v>
      </c>
      <c r="G26" s="7">
        <v>0</v>
      </c>
      <c r="H26" s="7">
        <v>1</v>
      </c>
      <c r="I26" s="7">
        <v>1</v>
      </c>
      <c r="J26" s="7">
        <v>0</v>
      </c>
      <c r="K26" s="7">
        <v>1</v>
      </c>
      <c r="L26" s="7">
        <v>1</v>
      </c>
      <c r="O26" s="3" t="str">
        <f>"pt6315_write_byte("&amp;F51&amp;"); // 3 unused bits + seg. 20 - 16"</f>
        <v>pt6315_write_byte(B00000110);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0</v>
      </c>
      <c r="I27" s="7">
        <v>0</v>
      </c>
      <c r="J27" s="7">
        <v>1</v>
      </c>
      <c r="K27" s="7">
        <v>0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1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1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0</v>
      </c>
      <c r="G30" s="7">
        <v>0</v>
      </c>
      <c r="H30" s="7">
        <v>0</v>
      </c>
      <c r="I30" s="7">
        <v>1</v>
      </c>
      <c r="J30" s="7">
        <v>1</v>
      </c>
      <c r="K30" s="7">
        <v>0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1</v>
      </c>
      <c r="L31" s="7">
        <v>1</v>
      </c>
      <c r="O31" s="3" t="str">
        <f>"pt6315_write_byte("&amp;G49&amp;"); // segments 7 - 0"</f>
        <v>pt6315_write_byte(B00000000);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0</v>
      </c>
      <c r="H32" s="7">
        <v>0</v>
      </c>
      <c r="I32" s="7">
        <v>0</v>
      </c>
      <c r="J32" s="7">
        <v>1</v>
      </c>
      <c r="K32" s="7">
        <v>1</v>
      </c>
      <c r="L32" s="7">
        <v>1</v>
      </c>
      <c r="O32" s="3" t="str">
        <f>"pt6315_write_byte("&amp;G50&amp;"); // segments 15 - 8"</f>
        <v>pt6315_write_byte(B00000000);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1</v>
      </c>
      <c r="L33" s="7">
        <v>0</v>
      </c>
      <c r="O33" s="3" t="str">
        <f>"pt6315_write_byte("&amp;G51&amp;"); // 3 unused bits + seg. 20 - 16"</f>
        <v>pt6315_write_byte(B00000000);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0</v>
      </c>
      <c r="G34" s="7">
        <v>0</v>
      </c>
      <c r="H34" s="7">
        <v>1</v>
      </c>
      <c r="I34" s="7">
        <v>1</v>
      </c>
      <c r="J34" s="7">
        <v>0</v>
      </c>
      <c r="K34" s="7">
        <v>1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1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0</v>
      </c>
      <c r="H37" s="7">
        <v>0</v>
      </c>
      <c r="I37" s="7">
        <v>0</v>
      </c>
      <c r="J37" s="7">
        <v>1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0</v>
      </c>
      <c r="G38" s="7">
        <v>0</v>
      </c>
      <c r="H38" s="7">
        <v>0</v>
      </c>
      <c r="I38" s="7">
        <v>1</v>
      </c>
      <c r="J38" s="7">
        <v>1</v>
      </c>
      <c r="K38" s="7">
        <v>0</v>
      </c>
      <c r="L38" s="8">
        <v>0</v>
      </c>
      <c r="O38" s="3" t="str">
        <f>"pt6315_write_byte("&amp;H49&amp;"); // segments 7 - 0"</f>
        <v>pt6315_write_byte(B00001001);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0</v>
      </c>
      <c r="G39" s="7">
        <v>0</v>
      </c>
      <c r="H39" s="7">
        <v>1</v>
      </c>
      <c r="I39" s="7">
        <v>0</v>
      </c>
      <c r="J39" s="7">
        <v>0</v>
      </c>
      <c r="K39" s="7">
        <v>1</v>
      </c>
      <c r="L39" s="8">
        <v>0</v>
      </c>
      <c r="O39" s="3" t="str">
        <f>"pt6315_write_byte("&amp;H50&amp;"); // segments 15 - 8"</f>
        <v>pt6315_write_byte(B00001000);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1</v>
      </c>
      <c r="G40" s="7">
        <v>0</v>
      </c>
      <c r="H40" s="7">
        <v>1</v>
      </c>
      <c r="I40" s="7">
        <v>1</v>
      </c>
      <c r="J40" s="7">
        <v>0</v>
      </c>
      <c r="K40" s="7">
        <v>1</v>
      </c>
      <c r="L40" s="8">
        <v>0</v>
      </c>
      <c r="O40" s="3" t="str">
        <f>"pt6315_write_byte("&amp;H51&amp;"); // 3 unused bits + seg. 20 - 16"</f>
        <v>pt6315_write_byte(B00001111);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1</v>
      </c>
      <c r="G41" s="7">
        <v>0</v>
      </c>
      <c r="H41" s="7">
        <v>1</v>
      </c>
      <c r="I41" s="7">
        <v>1</v>
      </c>
      <c r="J41" s="7">
        <v>0</v>
      </c>
      <c r="K41" s="7">
        <v>1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0</v>
      </c>
      <c r="G42" s="7">
        <v>0</v>
      </c>
      <c r="H42" s="7">
        <v>1</v>
      </c>
      <c r="I42" s="7">
        <v>0</v>
      </c>
      <c r="J42" s="7">
        <v>1</v>
      </c>
      <c r="K42" s="7">
        <v>1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pt6315_write_byte(B10001010);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pt6315_write_byte(B10001000);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pt6315_write_byte(B00000110);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B00100010</v>
      </c>
      <c r="G49" s="5" t="str">
        <f t="shared" ref="G49:K49" si="0">"B"&amp;G30&amp;G29&amp;G28&amp;G27&amp;G26&amp;G25&amp;G24&amp;G23</f>
        <v>B00000000</v>
      </c>
      <c r="H49" s="5" t="str">
        <f t="shared" si="0"/>
        <v>B00001001</v>
      </c>
      <c r="I49" s="5" t="str">
        <f t="shared" si="0"/>
        <v>B10001010</v>
      </c>
      <c r="J49" s="5" t="str">
        <f t="shared" si="0"/>
        <v>B10010101</v>
      </c>
      <c r="K49" s="5" t="str">
        <f t="shared" si="0"/>
        <v>B00001111</v>
      </c>
      <c r="L49" s="5" t="str">
        <f t="shared" ref="L49" si="1">"B"&amp;L30&amp;L29&amp;L28&amp;L27&amp;L26&amp;L25&amp;L24&amp;L23</f>
        <v>B11111110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B00100010</v>
      </c>
      <c r="G50" s="5" t="str">
        <f t="shared" ref="G50:K50" si="2">"B"&amp;G38&amp;G37&amp;G36&amp;G35&amp;G34&amp;G33&amp;G32&amp;G31</f>
        <v>B00000000</v>
      </c>
      <c r="H50" s="5" t="str">
        <f t="shared" si="2"/>
        <v>B00001000</v>
      </c>
      <c r="I50" s="5" t="str">
        <f t="shared" si="2"/>
        <v>B10001000</v>
      </c>
      <c r="J50" s="5" t="str">
        <f t="shared" si="2"/>
        <v>B11000010</v>
      </c>
      <c r="K50" s="5" t="str">
        <f t="shared" si="2"/>
        <v>B00001111</v>
      </c>
      <c r="L50" s="5" t="str">
        <f t="shared" ref="L50" si="3">"B"&amp;L38&amp;L37&amp;L36&amp;L35&amp;L34&amp;L33&amp;L32&amp;L31</f>
        <v>B00000011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B00000110</v>
      </c>
      <c r="G51" s="5" t="str">
        <f t="shared" ref="G51:K51" si="4">"B"&amp;G46&amp;G45&amp;G44&amp;G43&amp;G42&amp;G41&amp;G40&amp;G39</f>
        <v>B00000000</v>
      </c>
      <c r="H51" s="5" t="str">
        <f t="shared" si="4"/>
        <v>B00001111</v>
      </c>
      <c r="I51" s="5" t="str">
        <f t="shared" si="4"/>
        <v>B00000110</v>
      </c>
      <c r="J51" s="5" t="str">
        <f t="shared" si="4"/>
        <v>B00001000</v>
      </c>
      <c r="K51" s="5" t="str">
        <f t="shared" si="4"/>
        <v>B00001111</v>
      </c>
      <c r="L51" s="5" t="str">
        <f t="shared" ref="L51" si="5">"B"&amp;L46&amp;L45&amp;L44&amp;L43&amp;L42&amp;L41&amp;L40&amp;L39</f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pt6315_write_byte(B10010101);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pt6315_write_byte(B11000010);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pt6315_write_byte(B00001000);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pt6315_write_byte(B00001111);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pt6315_write_byte(B00001111);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pt6315_write_byte(B00001111);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pt6315_write_byte(B11111110);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pt6315_write_byte(B00000011);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1B363-357F-4D5B-B02E-B136FE557F31}">
  <sheetPr codeName="Sheet5"/>
  <dimension ref="B3:AG69"/>
  <sheetViews>
    <sheetView showGridLines="0" zoomScaleNormal="100" workbookViewId="0">
      <selection activeCell="P27" sqref="P27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0</v>
      </c>
      <c r="G23" s="7">
        <v>1</v>
      </c>
      <c r="H23" s="7">
        <v>1</v>
      </c>
      <c r="I23" s="7">
        <v>1</v>
      </c>
      <c r="J23" s="7">
        <v>0</v>
      </c>
      <c r="K23" s="7">
        <v>0</v>
      </c>
      <c r="L23" s="7">
        <v>0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0</v>
      </c>
      <c r="G24" s="7">
        <v>0</v>
      </c>
      <c r="H24" s="7">
        <v>1</v>
      </c>
      <c r="I24" s="7">
        <v>1</v>
      </c>
      <c r="J24" s="7">
        <v>1</v>
      </c>
      <c r="K24" s="7">
        <v>0</v>
      </c>
      <c r="L24" s="7">
        <v>0</v>
      </c>
      <c r="O24" s="3" t="str">
        <f>"pt6315_write_byte("&amp;F49&amp;"); // segments 7 - 0"</f>
        <v>pt6315_write_byte(B00000000);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0</v>
      </c>
      <c r="G25" s="7">
        <v>1</v>
      </c>
      <c r="H25" s="7">
        <v>0</v>
      </c>
      <c r="I25" s="7">
        <v>0</v>
      </c>
      <c r="J25" s="7">
        <v>1</v>
      </c>
      <c r="K25" s="7">
        <v>0</v>
      </c>
      <c r="L25" s="7">
        <v>0</v>
      </c>
      <c r="O25" s="3" t="str">
        <f>"pt6315_write_byte("&amp;F50&amp;"); // segments 15 - 8"</f>
        <v>pt6315_write_byte(B00000101);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0</v>
      </c>
      <c r="G26" s="7">
        <v>0</v>
      </c>
      <c r="H26" s="7">
        <v>1</v>
      </c>
      <c r="I26" s="7">
        <v>1</v>
      </c>
      <c r="J26" s="7">
        <v>1</v>
      </c>
      <c r="K26" s="7">
        <v>0</v>
      </c>
      <c r="L26" s="7">
        <v>0</v>
      </c>
      <c r="O26" s="3" t="str">
        <f>"pt6315_write_byte("&amp;F51&amp;"); // 3 unused bits + seg. 20 - 16"</f>
        <v>pt6315_write_byte(B00000000);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1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1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0</v>
      </c>
      <c r="G30" s="7">
        <v>1</v>
      </c>
      <c r="H30" s="7">
        <v>0</v>
      </c>
      <c r="I30" s="7">
        <v>1</v>
      </c>
      <c r="J30" s="7">
        <v>0</v>
      </c>
      <c r="K30" s="7">
        <v>0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1</v>
      </c>
      <c r="G31" s="7">
        <v>0</v>
      </c>
      <c r="H31" s="7">
        <v>1</v>
      </c>
      <c r="I31" s="7">
        <v>0</v>
      </c>
      <c r="J31" s="7">
        <v>1</v>
      </c>
      <c r="K31" s="7">
        <v>1</v>
      </c>
      <c r="L31" s="7">
        <v>1</v>
      </c>
      <c r="O31" s="3" t="str">
        <f>"pt6315_write_byte("&amp;G49&amp;"); // segments 7 - 0"</f>
        <v>pt6315_write_byte(B10010101);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0</v>
      </c>
      <c r="G32" s="7">
        <v>1</v>
      </c>
      <c r="H32" s="7">
        <v>1</v>
      </c>
      <c r="I32" s="7">
        <v>0</v>
      </c>
      <c r="J32" s="7">
        <v>1</v>
      </c>
      <c r="K32" s="7">
        <v>0</v>
      </c>
      <c r="L32" s="7">
        <v>0</v>
      </c>
      <c r="O32" s="3" t="str">
        <f>"pt6315_write_byte("&amp;G50&amp;"); // segments 15 - 8"</f>
        <v>pt6315_write_byte(B11000010);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1</v>
      </c>
      <c r="G33" s="7">
        <v>0</v>
      </c>
      <c r="H33" s="7">
        <v>0</v>
      </c>
      <c r="I33" s="7">
        <v>0</v>
      </c>
      <c r="J33" s="7">
        <v>1</v>
      </c>
      <c r="K33" s="7">
        <v>1</v>
      </c>
      <c r="L33" s="7">
        <v>1</v>
      </c>
      <c r="O33" s="3" t="str">
        <f>"pt6315_write_byte("&amp;G51&amp;"); // 3 unused bits + seg. 20 - 16"</f>
        <v>pt6315_write_byte(B00001000);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0</v>
      </c>
      <c r="G34" s="7">
        <v>0</v>
      </c>
      <c r="H34" s="7">
        <v>1</v>
      </c>
      <c r="I34" s="7">
        <v>1</v>
      </c>
      <c r="J34" s="7">
        <v>0</v>
      </c>
      <c r="K34" s="7">
        <v>0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1</v>
      </c>
      <c r="H37" s="7">
        <v>0</v>
      </c>
      <c r="I37" s="7">
        <v>0</v>
      </c>
      <c r="J37" s="7">
        <v>0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0</v>
      </c>
      <c r="G38" s="7">
        <v>1</v>
      </c>
      <c r="H38" s="7">
        <v>0</v>
      </c>
      <c r="I38" s="7">
        <v>1</v>
      </c>
      <c r="J38" s="7">
        <v>1</v>
      </c>
      <c r="K38" s="7">
        <v>0</v>
      </c>
      <c r="L38" s="8">
        <v>0</v>
      </c>
      <c r="O38" s="3" t="str">
        <f>"pt6315_write_byte("&amp;H49&amp;"); // segments 7 - 0"</f>
        <v>pt6315_write_byte(B00001011);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0</v>
      </c>
      <c r="G39" s="7">
        <v>0</v>
      </c>
      <c r="H39" s="7">
        <v>1</v>
      </c>
      <c r="I39" s="7">
        <v>1</v>
      </c>
      <c r="J39" s="7">
        <v>1</v>
      </c>
      <c r="K39" s="7">
        <v>0</v>
      </c>
      <c r="L39" s="8">
        <v>0</v>
      </c>
      <c r="O39" s="3" t="str">
        <f>"pt6315_write_byte("&amp;H50&amp;"); // segments 15 - 8"</f>
        <v>pt6315_write_byte(B00001011);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0</v>
      </c>
      <c r="H40" s="7">
        <v>0</v>
      </c>
      <c r="I40" s="7">
        <v>1</v>
      </c>
      <c r="J40" s="7">
        <v>1</v>
      </c>
      <c r="K40" s="7">
        <v>0</v>
      </c>
      <c r="L40" s="8">
        <v>0</v>
      </c>
      <c r="O40" s="3" t="str">
        <f>"pt6315_write_byte("&amp;H51&amp;"); // 3 unused bits + seg. 20 - 16"</f>
        <v>pt6315_write_byte(B00000001);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0</v>
      </c>
      <c r="H41" s="7">
        <v>0</v>
      </c>
      <c r="I41" s="7">
        <v>1</v>
      </c>
      <c r="J41" s="7">
        <v>1</v>
      </c>
      <c r="K41" s="7">
        <v>0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0</v>
      </c>
      <c r="G42" s="7">
        <v>1</v>
      </c>
      <c r="H42" s="7">
        <v>0</v>
      </c>
      <c r="I42" s="7">
        <v>0</v>
      </c>
      <c r="J42" s="7">
        <v>0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pt6315_write_byte(B10001011);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pt6315_write_byte(B10001000);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pt6315_write_byte(B00000111);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B00000000</v>
      </c>
      <c r="G49" s="5" t="str">
        <f t="shared" ref="G49:L49" si="0">"B"&amp;G30&amp;G29&amp;G28&amp;G27&amp;G26&amp;G25&amp;G24&amp;G23</f>
        <v>B10010101</v>
      </c>
      <c r="H49" s="5" t="str">
        <f t="shared" si="0"/>
        <v>B00001011</v>
      </c>
      <c r="I49" s="5" t="str">
        <f t="shared" si="0"/>
        <v>B10001011</v>
      </c>
      <c r="J49" s="5" t="str">
        <f t="shared" si="0"/>
        <v>B00001110</v>
      </c>
      <c r="K49" s="5" t="str">
        <f t="shared" si="0"/>
        <v>B00000000</v>
      </c>
      <c r="L49" s="5" t="str">
        <f t="shared" si="0"/>
        <v>B11100000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B00000101</v>
      </c>
      <c r="G50" s="5" t="str">
        <f t="shared" ref="G50:L50" si="1">"B"&amp;G38&amp;G37&amp;G36&amp;G35&amp;G34&amp;G33&amp;G32&amp;G31</f>
        <v>B11000010</v>
      </c>
      <c r="H50" s="5" t="str">
        <f t="shared" si="1"/>
        <v>B00001011</v>
      </c>
      <c r="I50" s="5" t="str">
        <f t="shared" si="1"/>
        <v>B10001000</v>
      </c>
      <c r="J50" s="5" t="str">
        <f t="shared" si="1"/>
        <v>B10000111</v>
      </c>
      <c r="K50" s="5" t="str">
        <f t="shared" si="1"/>
        <v>B00000101</v>
      </c>
      <c r="L50" s="5" t="str">
        <f t="shared" si="1"/>
        <v>B00000101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B00000000</v>
      </c>
      <c r="G51" s="5" t="str">
        <f t="shared" ref="G51:L51" si="2">"B"&amp;G46&amp;G45&amp;G44&amp;G43&amp;G42&amp;G41&amp;G40&amp;G39</f>
        <v>B00001000</v>
      </c>
      <c r="H51" s="5" t="str">
        <f t="shared" si="2"/>
        <v>B00000001</v>
      </c>
      <c r="I51" s="5" t="str">
        <f t="shared" si="2"/>
        <v>B00000111</v>
      </c>
      <c r="J51" s="5" t="str">
        <f t="shared" si="2"/>
        <v>B00000111</v>
      </c>
      <c r="K51" s="5" t="str">
        <f t="shared" si="2"/>
        <v>B00000000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pt6315_write_byte(B00001110);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pt6315_write_byte(B10000111);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pt6315_write_byte(B00000111);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pt6315_write_byte(B00000000);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pt6315_write_byte(B00000101);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pt6315_write_byte(B00000000);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pt6315_write_byte(B11100000);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pt6315_write_byte(B00000101);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E62C2-4739-4BFD-97FF-73DC5E5BB0F6}">
  <sheetPr codeName="Sheet6"/>
  <dimension ref="B3:AG69"/>
  <sheetViews>
    <sheetView showGridLines="0" zoomScaleNormal="100" workbookViewId="0">
      <selection activeCell="P29" sqref="P29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1</v>
      </c>
      <c r="G23" s="7">
        <v>1</v>
      </c>
      <c r="H23" s="7">
        <v>1</v>
      </c>
      <c r="I23" s="7">
        <v>1</v>
      </c>
      <c r="J23" s="7">
        <v>0</v>
      </c>
      <c r="K23" s="7">
        <v>0</v>
      </c>
      <c r="L23" s="7">
        <v>0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0</v>
      </c>
      <c r="G24" s="7">
        <v>1</v>
      </c>
      <c r="H24" s="7">
        <v>0</v>
      </c>
      <c r="I24" s="7">
        <v>0</v>
      </c>
      <c r="J24" s="7">
        <v>1</v>
      </c>
      <c r="K24" s="7">
        <v>0</v>
      </c>
      <c r="L24" s="7">
        <v>0</v>
      </c>
      <c r="O24" s="3" t="str">
        <f>"pt6315_write_byte("&amp;F49&amp;"); // segments 7 - 0"</f>
        <v>pt6315_write_byte(B10001101);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1</v>
      </c>
      <c r="G25" s="7">
        <v>1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O25" s="3" t="str">
        <f>"pt6315_write_byte("&amp;F50&amp;"); // segments 15 - 8"</f>
        <v>pt6315_write_byte(B10001111);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1</v>
      </c>
      <c r="G26" s="7">
        <v>1</v>
      </c>
      <c r="H26" s="7">
        <v>1</v>
      </c>
      <c r="I26" s="7">
        <v>1</v>
      </c>
      <c r="J26" s="7">
        <v>1</v>
      </c>
      <c r="K26" s="7">
        <v>0</v>
      </c>
      <c r="L26" s="7">
        <v>1</v>
      </c>
      <c r="O26" s="3" t="str">
        <f>"pt6315_write_byte("&amp;F51&amp;"); // 3 unused bits + seg. 20 - 16"</f>
        <v>pt6315_write_byte(B00001001);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1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1</v>
      </c>
      <c r="G30" s="7">
        <v>0</v>
      </c>
      <c r="H30" s="7">
        <v>0</v>
      </c>
      <c r="I30" s="7">
        <v>0</v>
      </c>
      <c r="J30" s="7">
        <v>1</v>
      </c>
      <c r="K30" s="7">
        <v>0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1</v>
      </c>
      <c r="G31" s="7">
        <v>1</v>
      </c>
      <c r="H31" s="7">
        <v>0</v>
      </c>
      <c r="I31" s="7">
        <v>0</v>
      </c>
      <c r="J31" s="7">
        <v>0</v>
      </c>
      <c r="K31" s="7">
        <v>1</v>
      </c>
      <c r="L31" s="7">
        <v>0</v>
      </c>
      <c r="O31" s="3" t="str">
        <f>"pt6315_write_byte("&amp;G49&amp;"); // segments 7 - 0"</f>
        <v>pt6315_write_byte(B00001111);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1</v>
      </c>
      <c r="H32" s="7">
        <v>0</v>
      </c>
      <c r="I32" s="7">
        <v>0</v>
      </c>
      <c r="J32" s="7">
        <v>0</v>
      </c>
      <c r="K32" s="7">
        <v>1</v>
      </c>
      <c r="L32" s="7">
        <v>0</v>
      </c>
      <c r="O32" s="3" t="str">
        <f>"pt6315_write_byte("&amp;G50&amp;"); // segments 15 - 8"</f>
        <v>pt6315_write_byte(B00001011);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1</v>
      </c>
      <c r="G33" s="7">
        <v>0</v>
      </c>
      <c r="H33" s="7">
        <v>0</v>
      </c>
      <c r="I33" s="7">
        <v>0</v>
      </c>
      <c r="J33" s="7">
        <v>0</v>
      </c>
      <c r="K33" s="7">
        <v>1</v>
      </c>
      <c r="L33" s="7">
        <v>0</v>
      </c>
      <c r="O33" s="3" t="str">
        <f>"pt6315_write_byte("&amp;G51&amp;"); // 3 unused bits + seg. 20 - 16"</f>
        <v>pt6315_write_byte(B00001111);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1</v>
      </c>
      <c r="G34" s="7">
        <v>1</v>
      </c>
      <c r="H34" s="7">
        <v>1</v>
      </c>
      <c r="I34" s="7">
        <v>1</v>
      </c>
      <c r="J34" s="7">
        <v>1</v>
      </c>
      <c r="K34" s="7">
        <v>0</v>
      </c>
      <c r="L34" s="7">
        <v>1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1</v>
      </c>
      <c r="G38" s="7">
        <v>0</v>
      </c>
      <c r="H38" s="7">
        <v>0</v>
      </c>
      <c r="I38" s="7">
        <v>0</v>
      </c>
      <c r="J38" s="7">
        <v>1</v>
      </c>
      <c r="K38" s="7">
        <v>0</v>
      </c>
      <c r="L38" s="8">
        <v>0</v>
      </c>
      <c r="O38" s="3" t="str">
        <f>"pt6315_write_byte("&amp;H49&amp;"); // segments 7 - 0"</f>
        <v>pt6315_write_byte(B00001001);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1</v>
      </c>
      <c r="G39" s="7">
        <v>1</v>
      </c>
      <c r="H39" s="7">
        <v>1</v>
      </c>
      <c r="I39" s="7">
        <v>1</v>
      </c>
      <c r="J39" s="7">
        <v>0</v>
      </c>
      <c r="K39" s="7">
        <v>0</v>
      </c>
      <c r="L39" s="8">
        <v>0</v>
      </c>
      <c r="O39" s="3" t="str">
        <f>"pt6315_write_byte("&amp;H50&amp;"); // segments 15 - 8"</f>
        <v>pt6315_write_byte(B00001000);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1</v>
      </c>
      <c r="I40" s="7">
        <v>1</v>
      </c>
      <c r="J40" s="7">
        <v>1</v>
      </c>
      <c r="K40" s="7">
        <v>0</v>
      </c>
      <c r="L40" s="8">
        <v>0</v>
      </c>
      <c r="O40" s="3" t="str">
        <f>"pt6315_write_byte("&amp;H51&amp;"); // 3 unused bits + seg. 20 - 16"</f>
        <v>pt6315_write_byte(B00001111);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1</v>
      </c>
      <c r="H41" s="7">
        <v>1</v>
      </c>
      <c r="I41" s="7">
        <v>1</v>
      </c>
      <c r="J41" s="7">
        <v>1</v>
      </c>
      <c r="K41" s="7">
        <v>0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1</v>
      </c>
      <c r="G42" s="7">
        <v>1</v>
      </c>
      <c r="H42" s="7">
        <v>1</v>
      </c>
      <c r="I42" s="7">
        <v>1</v>
      </c>
      <c r="J42" s="7">
        <v>0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pt6315_write_byte(B00001001);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pt6315_write_byte(B00001000);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pt6315_write_byte(B00001111);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B10001101</v>
      </c>
      <c r="G49" s="5" t="str">
        <f t="shared" ref="G49:L49" si="0">"B"&amp;G30&amp;G29&amp;G28&amp;G27&amp;G26&amp;G25&amp;G24&amp;G23</f>
        <v>B00001111</v>
      </c>
      <c r="H49" s="5" t="str">
        <f t="shared" si="0"/>
        <v>B00001001</v>
      </c>
      <c r="I49" s="5" t="str">
        <f t="shared" si="0"/>
        <v>B00001001</v>
      </c>
      <c r="J49" s="5" t="str">
        <f t="shared" si="0"/>
        <v>B10001010</v>
      </c>
      <c r="K49" s="5" t="str">
        <f t="shared" si="0"/>
        <v>B00000000</v>
      </c>
      <c r="L49" s="5" t="str">
        <f t="shared" si="0"/>
        <v>B11011000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B10001111</v>
      </c>
      <c r="G50" s="5" t="str">
        <f t="shared" ref="G50:L50" si="1">"B"&amp;G38&amp;G37&amp;G36&amp;G35&amp;G34&amp;G33&amp;G32&amp;G31</f>
        <v>B00001011</v>
      </c>
      <c r="H50" s="5" t="str">
        <f t="shared" si="1"/>
        <v>B00001000</v>
      </c>
      <c r="I50" s="5" t="str">
        <f t="shared" si="1"/>
        <v>B00001000</v>
      </c>
      <c r="J50" s="5" t="str">
        <f t="shared" si="1"/>
        <v>B10001000</v>
      </c>
      <c r="K50" s="5" t="str">
        <f t="shared" si="1"/>
        <v>B00000111</v>
      </c>
      <c r="L50" s="5" t="str">
        <f t="shared" si="1"/>
        <v>B00001000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B00001001</v>
      </c>
      <c r="G51" s="5" t="str">
        <f t="shared" ref="G51:L51" si="2">"B"&amp;G46&amp;G45&amp;G44&amp;G43&amp;G42&amp;G41&amp;G40&amp;G39</f>
        <v>B00001111</v>
      </c>
      <c r="H51" s="5" t="str">
        <f t="shared" si="2"/>
        <v>B00001111</v>
      </c>
      <c r="I51" s="5" t="str">
        <f t="shared" si="2"/>
        <v>B00001111</v>
      </c>
      <c r="J51" s="5" t="str">
        <f t="shared" si="2"/>
        <v>B00000110</v>
      </c>
      <c r="K51" s="5" t="str">
        <f t="shared" si="2"/>
        <v>B00000000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pt6315_write_byte(B10001010);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pt6315_write_byte(B10001000);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pt6315_write_byte(B00000110);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pt6315_write_byte(B00000000);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pt6315_write_byte(B00000111);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pt6315_write_byte(B00000000);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pt6315_write_byte(B11011000);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pt6315_write_byte(B00001000);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68E2-AA19-4F8D-BB2F-991EABC0D2F1}">
  <sheetPr codeName="Sheet7"/>
  <dimension ref="B3:AG69"/>
  <sheetViews>
    <sheetView showGridLines="0" zoomScaleNormal="100" workbookViewId="0">
      <selection activeCell="Q23" sqref="Q23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1</v>
      </c>
      <c r="G23" s="7">
        <v>0</v>
      </c>
      <c r="H23" s="7">
        <v>1</v>
      </c>
      <c r="I23" s="7">
        <v>1</v>
      </c>
      <c r="J23" s="7">
        <v>1</v>
      </c>
      <c r="K23" s="7">
        <v>0</v>
      </c>
      <c r="L23" s="7">
        <v>1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0</v>
      </c>
      <c r="G24" s="7">
        <v>1</v>
      </c>
      <c r="H24" s="7">
        <v>1</v>
      </c>
      <c r="I24" s="7">
        <v>0</v>
      </c>
      <c r="J24" s="7">
        <v>1</v>
      </c>
      <c r="K24" s="7">
        <v>0</v>
      </c>
      <c r="L24" s="7">
        <v>0</v>
      </c>
      <c r="O24" s="3" t="str">
        <f>"pt6315_write_byte("&amp;F49&amp;"); // segments 7 - 0"</f>
        <v>pt6315_write_byte(B10001101);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1</v>
      </c>
      <c r="G25" s="7">
        <v>0</v>
      </c>
      <c r="H25" s="7">
        <v>1</v>
      </c>
      <c r="I25" s="7">
        <v>0</v>
      </c>
      <c r="J25" s="7">
        <v>0</v>
      </c>
      <c r="K25" s="7">
        <v>1</v>
      </c>
      <c r="L25" s="7">
        <v>1</v>
      </c>
      <c r="O25" s="3" t="str">
        <f>"pt6315_write_byte("&amp;F50&amp;"); // segments 15 - 8"</f>
        <v>pt6315_write_byte(B11011010);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1</v>
      </c>
      <c r="G26" s="7">
        <v>1</v>
      </c>
      <c r="H26" s="7">
        <v>1</v>
      </c>
      <c r="I26" s="7">
        <v>1</v>
      </c>
      <c r="J26" s="7">
        <v>1</v>
      </c>
      <c r="K26" s="7">
        <v>0</v>
      </c>
      <c r="L26" s="7">
        <v>0</v>
      </c>
      <c r="O26" s="3" t="str">
        <f>"pt6315_write_byte("&amp;F51&amp;"); // 3 unused bits + seg. 20 - 16"</f>
        <v>pt6315_write_byte(B00001001);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1</v>
      </c>
      <c r="G30" s="7">
        <v>1</v>
      </c>
      <c r="H30" s="7">
        <v>1</v>
      </c>
      <c r="I30" s="7">
        <v>0</v>
      </c>
      <c r="J30" s="7">
        <v>1</v>
      </c>
      <c r="K30" s="7">
        <v>1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0</v>
      </c>
      <c r="G31" s="7">
        <v>0</v>
      </c>
      <c r="H31" s="7">
        <v>1</v>
      </c>
      <c r="I31" s="7">
        <v>0</v>
      </c>
      <c r="J31" s="7">
        <v>0</v>
      </c>
      <c r="K31" s="7">
        <v>0</v>
      </c>
      <c r="L31" s="7">
        <v>0</v>
      </c>
      <c r="O31" s="3" t="str">
        <f>"pt6315_write_byte("&amp;G49&amp;"); // segments 7 - 0"</f>
        <v>pt6315_write_byte(B10001010);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0</v>
      </c>
      <c r="H32" s="7">
        <v>1</v>
      </c>
      <c r="I32" s="7">
        <v>0</v>
      </c>
      <c r="J32" s="7">
        <v>0</v>
      </c>
      <c r="K32" s="7">
        <v>0</v>
      </c>
      <c r="L32" s="7">
        <v>0</v>
      </c>
      <c r="O32" s="3" t="str">
        <f>"pt6315_write_byte("&amp;G50&amp;"); // segments 15 - 8"</f>
        <v>pt6315_write_byte(B10001000);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0</v>
      </c>
      <c r="G33" s="7">
        <v>0</v>
      </c>
      <c r="H33" s="7">
        <v>1</v>
      </c>
      <c r="I33" s="7">
        <v>0</v>
      </c>
      <c r="J33" s="7">
        <v>0</v>
      </c>
      <c r="K33" s="7">
        <v>0</v>
      </c>
      <c r="L33" s="7">
        <v>0</v>
      </c>
      <c r="O33" s="3" t="str">
        <f>"pt6315_write_byte("&amp;G51&amp;"); // 3 unused bits + seg. 20 - 16"</f>
        <v>pt6315_write_byte(B00000110);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1</v>
      </c>
      <c r="G34" s="7">
        <v>1</v>
      </c>
      <c r="H34" s="7">
        <v>1</v>
      </c>
      <c r="I34" s="7">
        <v>1</v>
      </c>
      <c r="J34" s="7">
        <v>1</v>
      </c>
      <c r="K34" s="7">
        <v>0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1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1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1</v>
      </c>
      <c r="G37" s="7">
        <v>0</v>
      </c>
      <c r="H37" s="7">
        <v>1</v>
      </c>
      <c r="I37" s="7">
        <v>0</v>
      </c>
      <c r="J37" s="7">
        <v>0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1</v>
      </c>
      <c r="G38" s="7">
        <v>1</v>
      </c>
      <c r="H38" s="7">
        <v>0</v>
      </c>
      <c r="I38" s="7">
        <v>0</v>
      </c>
      <c r="J38" s="7">
        <v>1</v>
      </c>
      <c r="K38" s="7">
        <v>0</v>
      </c>
      <c r="L38" s="8">
        <v>0</v>
      </c>
      <c r="O38" s="3" t="str">
        <f>"pt6315_write_byte("&amp;H49&amp;"); // segments 7 - 0"</f>
        <v>pt6315_write_byte(B10001111);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1</v>
      </c>
      <c r="G39" s="7">
        <v>0</v>
      </c>
      <c r="H39" s="7">
        <v>1</v>
      </c>
      <c r="I39" s="7">
        <v>1</v>
      </c>
      <c r="J39" s="7">
        <v>1</v>
      </c>
      <c r="K39" s="7">
        <v>0</v>
      </c>
      <c r="L39" s="8">
        <v>0</v>
      </c>
      <c r="O39" s="3" t="str">
        <f>"pt6315_write_byte("&amp;H50&amp;"); // segments 15 - 8"</f>
        <v>pt6315_write_byte(B01001111);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0</v>
      </c>
      <c r="I40" s="7">
        <v>1</v>
      </c>
      <c r="J40" s="7">
        <v>1</v>
      </c>
      <c r="K40" s="7">
        <v>0</v>
      </c>
      <c r="L40" s="8">
        <v>0</v>
      </c>
      <c r="O40" s="3" t="str">
        <f>"pt6315_write_byte("&amp;H51&amp;"); // 3 unused bits + seg. 20 - 16"</f>
        <v>pt6315_write_byte(B00001001);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1</v>
      </c>
      <c r="H41" s="7">
        <v>0</v>
      </c>
      <c r="I41" s="7">
        <v>1</v>
      </c>
      <c r="J41" s="7">
        <v>1</v>
      </c>
      <c r="K41" s="7">
        <v>0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1</v>
      </c>
      <c r="G42" s="7">
        <v>0</v>
      </c>
      <c r="H42" s="7">
        <v>1</v>
      </c>
      <c r="I42" s="7">
        <v>1</v>
      </c>
      <c r="J42" s="7">
        <v>0</v>
      </c>
      <c r="K42" s="7">
        <v>1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pt6315_write_byte(B00001001);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pt6315_write_byte(B00001000);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pt6315_write_byte(B00001111);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B10001101</v>
      </c>
      <c r="G49" s="5" t="str">
        <f t="shared" ref="G49:L49" si="0">"B"&amp;G30&amp;G29&amp;G28&amp;G27&amp;G26&amp;G25&amp;G24&amp;G23</f>
        <v>B10001010</v>
      </c>
      <c r="H49" s="5" t="str">
        <f t="shared" si="0"/>
        <v>B10001111</v>
      </c>
      <c r="I49" s="5" t="str">
        <f t="shared" si="0"/>
        <v>B00001001</v>
      </c>
      <c r="J49" s="5" t="str">
        <f t="shared" si="0"/>
        <v>B10001011</v>
      </c>
      <c r="K49" s="5" t="str">
        <f t="shared" si="0"/>
        <v>B10000100</v>
      </c>
      <c r="L49" s="5" t="str">
        <f t="shared" si="0"/>
        <v>B10110101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B11011010</v>
      </c>
      <c r="G50" s="5" t="str">
        <f t="shared" ref="G50:L50" si="1">"B"&amp;G38&amp;G37&amp;G36&amp;G35&amp;G34&amp;G33&amp;G32&amp;G31</f>
        <v>B10001000</v>
      </c>
      <c r="H50" s="5" t="str">
        <f t="shared" si="1"/>
        <v>B01001111</v>
      </c>
      <c r="I50" s="5" t="str">
        <f t="shared" si="1"/>
        <v>B00001000</v>
      </c>
      <c r="J50" s="5" t="str">
        <f t="shared" si="1"/>
        <v>B10001000</v>
      </c>
      <c r="K50" s="5" t="str">
        <f t="shared" si="1"/>
        <v>B00000000</v>
      </c>
      <c r="L50" s="5" t="str">
        <f t="shared" si="1"/>
        <v>B00010000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B00001001</v>
      </c>
      <c r="G51" s="5" t="str">
        <f t="shared" ref="G51:L51" si="2">"B"&amp;G46&amp;G45&amp;G44&amp;G43&amp;G42&amp;G41&amp;G40&amp;G39</f>
        <v>B00000110</v>
      </c>
      <c r="H51" s="5" t="str">
        <f t="shared" si="2"/>
        <v>B00001001</v>
      </c>
      <c r="I51" s="5" t="str">
        <f t="shared" si="2"/>
        <v>B00001111</v>
      </c>
      <c r="J51" s="5" t="str">
        <f t="shared" si="2"/>
        <v>B00000111</v>
      </c>
      <c r="K51" s="5" t="str">
        <f t="shared" si="2"/>
        <v>B00001000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pt6315_write_byte(B10001011);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pt6315_write_byte(B10001000);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pt6315_write_byte(B00000111);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pt6315_write_byte(B10000100);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pt6315_write_byte(B00000000);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pt6315_write_byte(B00001000);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pt6315_write_byte(B10110101);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pt6315_write_byte(B00010000);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E373E-B940-4CF5-9C48-FB00DE2FD8B1}">
  <sheetPr codeName="Sheet8"/>
  <dimension ref="B3:AG69"/>
  <sheetViews>
    <sheetView showGridLines="0" zoomScaleNormal="100" workbookViewId="0">
      <selection activeCell="R30" sqref="R30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1</v>
      </c>
      <c r="G23" s="7">
        <v>1</v>
      </c>
      <c r="H23" s="7">
        <v>1</v>
      </c>
      <c r="I23" s="7">
        <v>1</v>
      </c>
      <c r="J23" s="7">
        <v>1</v>
      </c>
      <c r="K23" s="7">
        <v>1</v>
      </c>
      <c r="L23" s="7">
        <v>1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1</v>
      </c>
      <c r="G24" s="7">
        <v>1</v>
      </c>
      <c r="H24" s="7">
        <v>1</v>
      </c>
      <c r="I24" s="7">
        <v>1</v>
      </c>
      <c r="J24" s="7">
        <v>1</v>
      </c>
      <c r="K24" s="7">
        <v>1</v>
      </c>
      <c r="L24" s="7">
        <v>1</v>
      </c>
      <c r="O24" s="3" t="str">
        <f>"pt6315_write_byte("&amp;F49&amp;"); // segments 7 - 0"</f>
        <v>pt6315_write_byte(B11111111);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1</v>
      </c>
      <c r="G25" s="7">
        <v>1</v>
      </c>
      <c r="H25" s="7">
        <v>1</v>
      </c>
      <c r="I25" s="7">
        <v>1</v>
      </c>
      <c r="J25" s="7">
        <v>1</v>
      </c>
      <c r="K25" s="7">
        <v>1</v>
      </c>
      <c r="L25" s="7">
        <v>1</v>
      </c>
      <c r="O25" s="3" t="str">
        <f>"pt6315_write_byte("&amp;F50&amp;"); // segments 15 - 8"</f>
        <v>pt6315_write_byte(B11111111);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1</v>
      </c>
      <c r="G26" s="7">
        <v>1</v>
      </c>
      <c r="H26" s="7">
        <v>1</v>
      </c>
      <c r="I26" s="7">
        <v>1</v>
      </c>
      <c r="J26" s="7">
        <v>1</v>
      </c>
      <c r="K26" s="7">
        <v>1</v>
      </c>
      <c r="L26" s="7">
        <v>1</v>
      </c>
      <c r="O26" s="3" t="str">
        <f>"pt6315_write_byte("&amp;F51&amp;"); // 3 unused bits + seg. 20 - 16"</f>
        <v>pt6315_write_byte(B00001111);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1</v>
      </c>
      <c r="G27" s="7">
        <v>1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1</v>
      </c>
      <c r="G29" s="7">
        <v>1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1</v>
      </c>
      <c r="G30" s="7">
        <v>1</v>
      </c>
      <c r="H30" s="7">
        <v>1</v>
      </c>
      <c r="I30" s="7">
        <v>1</v>
      </c>
      <c r="J30" s="7">
        <v>1</v>
      </c>
      <c r="K30" s="7">
        <v>1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1</v>
      </c>
      <c r="G31" s="7">
        <v>1</v>
      </c>
      <c r="H31" s="7">
        <v>1</v>
      </c>
      <c r="I31" s="7">
        <v>1</v>
      </c>
      <c r="J31" s="7">
        <v>1</v>
      </c>
      <c r="K31" s="7">
        <v>1</v>
      </c>
      <c r="L31" s="7">
        <v>1</v>
      </c>
      <c r="O31" s="3" t="str">
        <f>"pt6315_write_byte("&amp;G49&amp;"); // segments 7 - 0"</f>
        <v>pt6315_write_byte(B11111111);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1</v>
      </c>
      <c r="H32" s="7">
        <v>1</v>
      </c>
      <c r="I32" s="7">
        <v>1</v>
      </c>
      <c r="J32" s="7">
        <v>1</v>
      </c>
      <c r="K32" s="7">
        <v>1</v>
      </c>
      <c r="L32" s="7">
        <v>1</v>
      </c>
      <c r="O32" s="3" t="str">
        <f>"pt6315_write_byte("&amp;G50&amp;"); // segments 15 - 8"</f>
        <v>pt6315_write_byte(B11111111);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1</v>
      </c>
      <c r="G33" s="7">
        <v>1</v>
      </c>
      <c r="H33" s="7">
        <v>1</v>
      </c>
      <c r="I33" s="7">
        <v>1</v>
      </c>
      <c r="J33" s="7">
        <v>1</v>
      </c>
      <c r="K33" s="7">
        <v>1</v>
      </c>
      <c r="L33" s="7">
        <v>1</v>
      </c>
      <c r="O33" s="3" t="str">
        <f>"pt6315_write_byte("&amp;G51&amp;"); // 3 unused bits + seg. 20 - 16"</f>
        <v>pt6315_write_byte(B00011111);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1</v>
      </c>
      <c r="G34" s="7">
        <v>1</v>
      </c>
      <c r="H34" s="7">
        <v>1</v>
      </c>
      <c r="I34" s="7">
        <v>1</v>
      </c>
      <c r="J34" s="7">
        <v>1</v>
      </c>
      <c r="K34" s="7">
        <v>1</v>
      </c>
      <c r="L34" s="7">
        <v>1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1</v>
      </c>
      <c r="G35" s="7">
        <v>1</v>
      </c>
      <c r="H35" s="7">
        <v>1</v>
      </c>
      <c r="I35" s="7">
        <v>1</v>
      </c>
      <c r="J35" s="7">
        <v>1</v>
      </c>
      <c r="K35" s="7">
        <v>1</v>
      </c>
      <c r="L35" s="7">
        <v>1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1</v>
      </c>
      <c r="G36" s="7">
        <v>1</v>
      </c>
      <c r="H36" s="7">
        <v>1</v>
      </c>
      <c r="I36" s="7">
        <v>1</v>
      </c>
      <c r="J36" s="7">
        <v>1</v>
      </c>
      <c r="K36" s="7">
        <v>1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1</v>
      </c>
      <c r="G37" s="7">
        <v>1</v>
      </c>
      <c r="H37" s="7">
        <v>1</v>
      </c>
      <c r="I37" s="7">
        <v>1</v>
      </c>
      <c r="J37" s="7">
        <v>1</v>
      </c>
      <c r="K37" s="7">
        <v>1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1</v>
      </c>
      <c r="G38" s="7">
        <v>1</v>
      </c>
      <c r="H38" s="7">
        <v>1</v>
      </c>
      <c r="I38" s="7">
        <v>1</v>
      </c>
      <c r="J38" s="7">
        <v>1</v>
      </c>
      <c r="K38" s="7">
        <v>1</v>
      </c>
      <c r="L38" s="8">
        <v>0</v>
      </c>
      <c r="O38" s="3" t="str">
        <f>"pt6315_write_byte("&amp;H49&amp;"); // segments 7 - 0"</f>
        <v>pt6315_write_byte(B11111111);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1</v>
      </c>
      <c r="G39" s="7">
        <v>1</v>
      </c>
      <c r="H39" s="7">
        <v>1</v>
      </c>
      <c r="I39" s="7">
        <v>1</v>
      </c>
      <c r="J39" s="7">
        <v>1</v>
      </c>
      <c r="K39" s="7">
        <v>1</v>
      </c>
      <c r="L39" s="8">
        <v>0</v>
      </c>
      <c r="O39" s="3" t="str">
        <f>"pt6315_write_byte("&amp;H50&amp;"); // segments 15 - 8"</f>
        <v>pt6315_write_byte(B11111111);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1</v>
      </c>
      <c r="G40" s="7">
        <v>1</v>
      </c>
      <c r="H40" s="7">
        <v>1</v>
      </c>
      <c r="I40" s="7">
        <v>1</v>
      </c>
      <c r="J40" s="7">
        <v>1</v>
      </c>
      <c r="K40" s="7">
        <v>1</v>
      </c>
      <c r="L40" s="8">
        <v>0</v>
      </c>
      <c r="O40" s="3" t="str">
        <f>"pt6315_write_byte("&amp;H51&amp;"); // 3 unused bits + seg. 20 - 16"</f>
        <v>pt6315_write_byte(B00001111);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1</v>
      </c>
      <c r="G41" s="7">
        <v>1</v>
      </c>
      <c r="H41" s="7">
        <v>1</v>
      </c>
      <c r="I41" s="7">
        <v>1</v>
      </c>
      <c r="J41" s="7">
        <v>1</v>
      </c>
      <c r="K41" s="7">
        <v>1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1</v>
      </c>
      <c r="G42" s="7">
        <v>1</v>
      </c>
      <c r="H42" s="7">
        <v>1</v>
      </c>
      <c r="I42" s="7">
        <v>1</v>
      </c>
      <c r="J42" s="7">
        <v>1</v>
      </c>
      <c r="K42" s="7">
        <v>1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1</v>
      </c>
      <c r="H43" s="8">
        <v>0</v>
      </c>
      <c r="I43" s="7">
        <v>1</v>
      </c>
      <c r="J43" s="7">
        <v>1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pt6315_write_byte(B11111111);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pt6315_write_byte(B11111111);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pt6315_write_byte(B00011111);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B11111111</v>
      </c>
      <c r="G49" s="5" t="str">
        <f t="shared" ref="G49:L49" si="0">"B"&amp;G30&amp;G29&amp;G28&amp;G27&amp;G26&amp;G25&amp;G24&amp;G23</f>
        <v>B11111111</v>
      </c>
      <c r="H49" s="5" t="str">
        <f t="shared" si="0"/>
        <v>B11111111</v>
      </c>
      <c r="I49" s="5" t="str">
        <f t="shared" si="0"/>
        <v>B11111111</v>
      </c>
      <c r="J49" s="5" t="str">
        <f t="shared" si="0"/>
        <v>B11111111</v>
      </c>
      <c r="K49" s="5" t="str">
        <f t="shared" si="0"/>
        <v>B11111111</v>
      </c>
      <c r="L49" s="5" t="str">
        <f t="shared" si="0"/>
        <v>B11111111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B11111111</v>
      </c>
      <c r="G50" s="5" t="str">
        <f t="shared" ref="G50:L50" si="1">"B"&amp;G38&amp;G37&amp;G36&amp;G35&amp;G34&amp;G33&amp;G32&amp;G31</f>
        <v>B11111111</v>
      </c>
      <c r="H50" s="5" t="str">
        <f t="shared" si="1"/>
        <v>B11111111</v>
      </c>
      <c r="I50" s="5" t="str">
        <f t="shared" si="1"/>
        <v>B11111111</v>
      </c>
      <c r="J50" s="5" t="str">
        <f t="shared" si="1"/>
        <v>B11111111</v>
      </c>
      <c r="K50" s="5" t="str">
        <f t="shared" si="1"/>
        <v>B11111111</v>
      </c>
      <c r="L50" s="5" t="str">
        <f t="shared" si="1"/>
        <v>B00011111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B00001111</v>
      </c>
      <c r="G51" s="5" t="str">
        <f t="shared" ref="G51:L51" si="2">"B"&amp;G46&amp;G45&amp;G44&amp;G43&amp;G42&amp;G41&amp;G40&amp;G39</f>
        <v>B00011111</v>
      </c>
      <c r="H51" s="5" t="str">
        <f t="shared" si="2"/>
        <v>B00001111</v>
      </c>
      <c r="I51" s="5" t="str">
        <f t="shared" si="2"/>
        <v>B00011111</v>
      </c>
      <c r="J51" s="5" t="str">
        <f t="shared" si="2"/>
        <v>B00011111</v>
      </c>
      <c r="K51" s="5" t="str">
        <f t="shared" si="2"/>
        <v>B00001111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pt6315_write_byte(B11111111);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pt6315_write_byte(B11111111);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pt6315_write_byte(B00011111);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pt6315_write_byte(B11111111);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pt6315_write_byte(B11111111);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pt6315_write_byte(B00001111);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pt6315_write_byte(B11111111);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pt6315_write_byte(B00011111);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43BE-40F7-47A5-B93C-21B5F25E7B37}">
  <sheetPr codeName="Sheet9"/>
  <dimension ref="B3:AG69"/>
  <sheetViews>
    <sheetView showGridLines="0" zoomScaleNormal="100" workbookViewId="0">
      <selection activeCell="Q21" sqref="Q21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0</v>
      </c>
      <c r="G23" s="7">
        <v>1</v>
      </c>
      <c r="H23" s="7">
        <v>1</v>
      </c>
      <c r="I23" s="7">
        <v>1</v>
      </c>
      <c r="J23" s="7">
        <v>0</v>
      </c>
      <c r="K23" s="7">
        <v>0</v>
      </c>
      <c r="L23" s="7">
        <v>1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0</v>
      </c>
      <c r="G24" s="7">
        <v>1</v>
      </c>
      <c r="H24" s="7">
        <v>1</v>
      </c>
      <c r="I24" s="7">
        <v>0</v>
      </c>
      <c r="J24" s="7">
        <v>1</v>
      </c>
      <c r="K24" s="7">
        <v>1</v>
      </c>
      <c r="L24" s="7">
        <v>0</v>
      </c>
      <c r="O24" s="3" t="str">
        <f>"pt6315_write_byte("&amp;F49&amp;"); // segments 7 - 0"</f>
        <v>pt6315_write_byte(B10000100);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1</v>
      </c>
      <c r="G25" s="7">
        <v>0</v>
      </c>
      <c r="H25" s="7">
        <v>0</v>
      </c>
      <c r="I25" s="7">
        <v>1</v>
      </c>
      <c r="J25" s="7">
        <v>1</v>
      </c>
      <c r="K25" s="7">
        <v>1</v>
      </c>
      <c r="L25" s="7">
        <v>1</v>
      </c>
      <c r="O25" s="3" t="str">
        <f>"pt6315_write_byte("&amp;F50&amp;"); // segments 15 - 8"</f>
        <v>pt6315_write_byte(B10000000);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1</v>
      </c>
      <c r="L26" s="7">
        <v>0</v>
      </c>
      <c r="O26" s="3" t="str">
        <f>"pt6315_write_byte("&amp;F51&amp;"); // 3 unused bits + seg. 20 - 16"</f>
        <v>pt6315_write_byte(B00001000);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0</v>
      </c>
      <c r="I27" s="7">
        <v>1</v>
      </c>
      <c r="J27" s="7">
        <v>1</v>
      </c>
      <c r="K27" s="7">
        <v>0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0</v>
      </c>
      <c r="G29" s="7">
        <v>0</v>
      </c>
      <c r="H29" s="7">
        <v>1</v>
      </c>
      <c r="I29" s="7">
        <v>0</v>
      </c>
      <c r="J29" s="7">
        <v>0</v>
      </c>
      <c r="K29" s="7">
        <v>0</v>
      </c>
      <c r="L29" s="7">
        <v>0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1</v>
      </c>
      <c r="G30" s="7">
        <v>1</v>
      </c>
      <c r="H30" s="7">
        <v>0</v>
      </c>
      <c r="I30" s="7">
        <v>1</v>
      </c>
      <c r="J30" s="7">
        <v>0</v>
      </c>
      <c r="K30" s="7">
        <v>0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0</v>
      </c>
      <c r="G31" s="7">
        <v>0</v>
      </c>
      <c r="H31" s="7">
        <v>1</v>
      </c>
      <c r="I31" s="7">
        <v>0</v>
      </c>
      <c r="J31" s="7">
        <v>1</v>
      </c>
      <c r="K31" s="7">
        <v>1</v>
      </c>
      <c r="L31" s="7">
        <v>0</v>
      </c>
      <c r="O31" s="3" t="str">
        <f>"pt6315_write_byte("&amp;G49&amp;"); // segments 7 - 0"</f>
        <v>pt6315_write_byte(B10000011);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0</v>
      </c>
      <c r="G32" s="7">
        <v>1</v>
      </c>
      <c r="H32" s="7">
        <v>1</v>
      </c>
      <c r="I32" s="7">
        <v>1</v>
      </c>
      <c r="J32" s="7">
        <v>1</v>
      </c>
      <c r="K32" s="7">
        <v>1</v>
      </c>
      <c r="L32" s="7">
        <v>0</v>
      </c>
      <c r="O32" s="3" t="str">
        <f>"pt6315_write_byte("&amp;G50&amp;"); // segments 15 - 8"</f>
        <v>pt6315_write_byte(B00010110);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0</v>
      </c>
      <c r="G33" s="7">
        <v>1</v>
      </c>
      <c r="H33" s="7">
        <v>0</v>
      </c>
      <c r="I33" s="7">
        <v>1</v>
      </c>
      <c r="J33" s="7">
        <v>1</v>
      </c>
      <c r="K33" s="7">
        <v>0</v>
      </c>
      <c r="L33" s="7">
        <v>0</v>
      </c>
      <c r="O33" s="3" t="str">
        <f>"pt6315_write_byte("&amp;G51&amp;"); // 3 unused bits + seg. 20 - 16"</f>
        <v>pt6315_write_byte(B00011111);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1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1</v>
      </c>
      <c r="H35" s="7">
        <v>0</v>
      </c>
      <c r="I35" s="7">
        <v>0</v>
      </c>
      <c r="J35" s="7">
        <v>0</v>
      </c>
      <c r="K35" s="7">
        <v>0</v>
      </c>
      <c r="L35" s="7">
        <v>1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0</v>
      </c>
      <c r="H37" s="7">
        <v>1</v>
      </c>
      <c r="I37" s="7">
        <v>0</v>
      </c>
      <c r="J37" s="7">
        <v>0</v>
      </c>
      <c r="K37" s="7">
        <v>1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1</v>
      </c>
      <c r="G38" s="7">
        <v>0</v>
      </c>
      <c r="H38" s="7">
        <v>0</v>
      </c>
      <c r="I38" s="7">
        <v>1</v>
      </c>
      <c r="J38" s="7">
        <v>1</v>
      </c>
      <c r="K38" s="7">
        <v>0</v>
      </c>
      <c r="L38" s="8">
        <v>0</v>
      </c>
      <c r="O38" s="3" t="str">
        <f>"pt6315_write_byte("&amp;H49&amp;"); // segments 7 - 0"</f>
        <v>pt6315_write_byte(B01000011);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0</v>
      </c>
      <c r="G39" s="7">
        <v>1</v>
      </c>
      <c r="H39" s="7">
        <v>0</v>
      </c>
      <c r="I39" s="7">
        <v>0</v>
      </c>
      <c r="J39" s="7">
        <v>1</v>
      </c>
      <c r="K39" s="7">
        <v>1</v>
      </c>
      <c r="L39" s="8">
        <v>0</v>
      </c>
      <c r="O39" s="3" t="str">
        <f>"pt6315_write_byte("&amp;H50&amp;"); // segments 15 - 8"</f>
        <v>pt6315_write_byte(B01000011);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1</v>
      </c>
      <c r="I40" s="7">
        <v>0</v>
      </c>
      <c r="J40" s="7">
        <v>1</v>
      </c>
      <c r="K40" s="7">
        <v>1</v>
      </c>
      <c r="L40" s="8">
        <v>0</v>
      </c>
      <c r="O40" s="3" t="str">
        <f>"pt6315_write_byte("&amp;H51&amp;"); // 3 unused bits + seg. 20 - 16"</f>
        <v>pt6315_write_byte(B00000110);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1</v>
      </c>
      <c r="H41" s="7">
        <v>1</v>
      </c>
      <c r="I41" s="7">
        <v>0</v>
      </c>
      <c r="J41" s="7">
        <v>1</v>
      </c>
      <c r="K41" s="7">
        <v>1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1</v>
      </c>
      <c r="G42" s="7">
        <v>1</v>
      </c>
      <c r="H42" s="7">
        <v>0</v>
      </c>
      <c r="I42" s="7">
        <v>1</v>
      </c>
      <c r="J42" s="7">
        <v>0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1</v>
      </c>
      <c r="H43" s="8">
        <v>0</v>
      </c>
      <c r="I43" s="7">
        <v>1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pt6315_write_byte(B10010101);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pt6315_write_byte(B10000110);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pt6315_write_byte(B00011000);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B10000100</v>
      </c>
      <c r="G49" s="5" t="str">
        <f t="shared" ref="G49:L49" si="0">"B"&amp;G30&amp;G29&amp;G28&amp;G27&amp;G26&amp;G25&amp;G24&amp;G23</f>
        <v>B10000011</v>
      </c>
      <c r="H49" s="5" t="str">
        <f t="shared" si="0"/>
        <v>B01000011</v>
      </c>
      <c r="I49" s="5" t="str">
        <f t="shared" si="0"/>
        <v>B10010101</v>
      </c>
      <c r="J49" s="5" t="str">
        <f t="shared" si="0"/>
        <v>B00010110</v>
      </c>
      <c r="K49" s="5" t="str">
        <f t="shared" si="0"/>
        <v>B00001110</v>
      </c>
      <c r="L49" s="5" t="str">
        <f t="shared" si="0"/>
        <v>B10110101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B10000000</v>
      </c>
      <c r="G50" s="5" t="str">
        <f t="shared" ref="G50:L50" si="1">"B"&amp;G38&amp;G37&amp;G36&amp;G35&amp;G34&amp;G33&amp;G32&amp;G31</f>
        <v>B00010110</v>
      </c>
      <c r="H50" s="5" t="str">
        <f t="shared" si="1"/>
        <v>B01000011</v>
      </c>
      <c r="I50" s="5" t="str">
        <f t="shared" si="1"/>
        <v>B10000110</v>
      </c>
      <c r="J50" s="5" t="str">
        <f t="shared" si="1"/>
        <v>B10000111</v>
      </c>
      <c r="K50" s="5" t="str">
        <f t="shared" si="1"/>
        <v>B01001011</v>
      </c>
      <c r="L50" s="5" t="str">
        <f t="shared" si="1"/>
        <v>B00010000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B00001000</v>
      </c>
      <c r="G51" s="5" t="str">
        <f t="shared" ref="G51:L51" si="2">"B"&amp;G46&amp;G45&amp;G44&amp;G43&amp;G42&amp;G41&amp;G40&amp;G39</f>
        <v>B00011111</v>
      </c>
      <c r="H51" s="5" t="str">
        <f t="shared" si="2"/>
        <v>B00000110</v>
      </c>
      <c r="I51" s="5" t="str">
        <f t="shared" si="2"/>
        <v>B00011000</v>
      </c>
      <c r="J51" s="5" t="str">
        <f t="shared" si="2"/>
        <v>B00000111</v>
      </c>
      <c r="K51" s="5" t="str">
        <f t="shared" si="2"/>
        <v>B00000111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pt6315_write_byte(B00010110);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pt6315_write_byte(B10000111);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pt6315_write_byte(B00000111);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pt6315_write_byte(B00001110);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pt6315_write_byte(B01001011);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pt6315_write_byte(B00000111);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pt6315_write_byte(B10110101);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pt6315_write_byte(B00010000);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3878-BF49-41C9-98C8-7BB3DA19BC50}">
  <sheetPr codeName="Sheet10"/>
  <dimension ref="B3:AG69"/>
  <sheetViews>
    <sheetView showGridLines="0" zoomScaleNormal="100" workbookViewId="0">
      <selection activeCell="Q22" sqref="Q22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1</v>
      </c>
      <c r="L23" s="7">
        <v>0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1</v>
      </c>
      <c r="G24" s="7">
        <v>1</v>
      </c>
      <c r="H24" s="7">
        <v>1</v>
      </c>
      <c r="I24" s="7">
        <v>1</v>
      </c>
      <c r="J24" s="7">
        <v>0</v>
      </c>
      <c r="K24" s="7">
        <v>0</v>
      </c>
      <c r="L24" s="7">
        <v>1</v>
      </c>
      <c r="O24" s="3" t="str">
        <f>"pt6315_write_byte("&amp;F49&amp;"); // segments 7 - 0"</f>
        <v>pt6315_write_byte(B01000010);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0</v>
      </c>
      <c r="G25" s="7">
        <v>0</v>
      </c>
      <c r="H25" s="7">
        <v>1</v>
      </c>
      <c r="I25" s="7">
        <v>0</v>
      </c>
      <c r="J25" s="7">
        <v>1</v>
      </c>
      <c r="K25" s="7">
        <v>0</v>
      </c>
      <c r="L25" s="7">
        <v>1</v>
      </c>
      <c r="O25" s="3" t="str">
        <f>"pt6315_write_byte("&amp;F50&amp;"); // segments 15 - 8"</f>
        <v>pt6315_write_byte(B00100110);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0</v>
      </c>
      <c r="G26" s="7">
        <v>1</v>
      </c>
      <c r="H26" s="7">
        <v>0</v>
      </c>
      <c r="I26" s="7">
        <v>1</v>
      </c>
      <c r="J26" s="7">
        <v>0</v>
      </c>
      <c r="K26" s="7">
        <v>0</v>
      </c>
      <c r="L26" s="7">
        <v>0</v>
      </c>
      <c r="O26" s="3" t="str">
        <f>"pt6315_write_byte("&amp;F51&amp;"); // 3 unused bits + seg. 20 - 16"</f>
        <v>pt6315_write_byte(B00000100);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1</v>
      </c>
      <c r="I27" s="7">
        <v>0</v>
      </c>
      <c r="J27" s="7">
        <v>0</v>
      </c>
      <c r="K27" s="7">
        <v>1</v>
      </c>
      <c r="L27" s="7">
        <v>0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1</v>
      </c>
      <c r="G29" s="7">
        <v>0</v>
      </c>
      <c r="H29" s="7">
        <v>0</v>
      </c>
      <c r="I29" s="7">
        <v>1</v>
      </c>
      <c r="J29" s="7">
        <v>1</v>
      </c>
      <c r="K29" s="7">
        <v>0</v>
      </c>
      <c r="L29" s="7">
        <v>0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0</v>
      </c>
      <c r="G30" s="7">
        <v>1</v>
      </c>
      <c r="H30" s="7">
        <v>1</v>
      </c>
      <c r="I30" s="7">
        <v>1</v>
      </c>
      <c r="J30" s="7">
        <v>0</v>
      </c>
      <c r="K30" s="7">
        <v>0</v>
      </c>
      <c r="L30" s="7">
        <v>0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0</v>
      </c>
      <c r="G31" s="7">
        <v>1</v>
      </c>
      <c r="H31" s="7">
        <v>0</v>
      </c>
      <c r="I31" s="7">
        <v>0</v>
      </c>
      <c r="J31" s="7">
        <v>0</v>
      </c>
      <c r="K31" s="7">
        <v>1</v>
      </c>
      <c r="L31" s="7">
        <v>0</v>
      </c>
      <c r="O31" s="3" t="str">
        <f>"pt6315_write_byte("&amp;G49&amp;"); // segments 7 - 0"</f>
        <v>pt6315_write_byte(B10001010);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1</v>
      </c>
      <c r="H32" s="7">
        <v>1</v>
      </c>
      <c r="I32" s="7">
        <v>1</v>
      </c>
      <c r="J32" s="7">
        <v>0</v>
      </c>
      <c r="K32" s="7">
        <v>0</v>
      </c>
      <c r="L32" s="7">
        <v>0</v>
      </c>
      <c r="O32" s="3" t="str">
        <f>"pt6315_write_byte("&amp;G50&amp;"); // segments 15 - 8"</f>
        <v>pt6315_write_byte(B10001111);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1</v>
      </c>
      <c r="G33" s="7">
        <v>1</v>
      </c>
      <c r="H33" s="7">
        <v>1</v>
      </c>
      <c r="I33" s="7">
        <v>0</v>
      </c>
      <c r="J33" s="7">
        <v>1</v>
      </c>
      <c r="K33" s="7">
        <v>0</v>
      </c>
      <c r="L33" s="7">
        <v>0</v>
      </c>
      <c r="O33" s="3" t="str">
        <f>"pt6315_write_byte("&amp;G51&amp;"); // 3 unused bits + seg. 20 - 16"</f>
        <v>pt6315_write_byte(B00010110);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0</v>
      </c>
      <c r="G34" s="7">
        <v>1</v>
      </c>
      <c r="H34" s="7">
        <v>0</v>
      </c>
      <c r="I34" s="7">
        <v>1</v>
      </c>
      <c r="J34" s="7">
        <v>0</v>
      </c>
      <c r="K34" s="7">
        <v>0</v>
      </c>
      <c r="L34" s="7">
        <v>1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0</v>
      </c>
      <c r="H35" s="7">
        <v>0</v>
      </c>
      <c r="I35" s="7">
        <v>1</v>
      </c>
      <c r="J35" s="7">
        <v>0</v>
      </c>
      <c r="K35" s="7">
        <v>1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1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0</v>
      </c>
      <c r="H37" s="7">
        <v>0</v>
      </c>
      <c r="I37" s="7">
        <v>0</v>
      </c>
      <c r="J37" s="7">
        <v>1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0</v>
      </c>
      <c r="G38" s="7">
        <v>1</v>
      </c>
      <c r="H38" s="7">
        <v>1</v>
      </c>
      <c r="I38" s="7">
        <v>1</v>
      </c>
      <c r="J38" s="7">
        <v>0</v>
      </c>
      <c r="K38" s="7">
        <v>0</v>
      </c>
      <c r="L38" s="8">
        <v>0</v>
      </c>
      <c r="O38" s="3" t="str">
        <f>"pt6315_write_byte("&amp;H49&amp;"); // segments 7 - 0"</f>
        <v>pt6315_write_byte(B10010110);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1</v>
      </c>
      <c r="L39" s="8">
        <v>0</v>
      </c>
      <c r="O39" s="3" t="str">
        <f>"pt6315_write_byte("&amp;H50&amp;"); // segments 15 - 8"</f>
        <v>pt6315_write_byte(B10000110);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1</v>
      </c>
      <c r="I40" s="7">
        <v>1</v>
      </c>
      <c r="J40" s="7">
        <v>0</v>
      </c>
      <c r="K40" s="7">
        <v>0</v>
      </c>
      <c r="L40" s="8">
        <v>0</v>
      </c>
      <c r="O40" s="3" t="str">
        <f>"pt6315_write_byte("&amp;H51&amp;"); // 3 unused bits + seg. 20 - 16"</f>
        <v>pt6315_write_byte(B00000110);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1</v>
      </c>
      <c r="G41" s="7">
        <v>1</v>
      </c>
      <c r="H41" s="7">
        <v>1</v>
      </c>
      <c r="I41" s="7">
        <v>1</v>
      </c>
      <c r="J41" s="7">
        <v>0</v>
      </c>
      <c r="K41" s="7">
        <v>0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0</v>
      </c>
      <c r="G42" s="7">
        <v>0</v>
      </c>
      <c r="H42" s="7">
        <v>0</v>
      </c>
      <c r="I42" s="7">
        <v>0</v>
      </c>
      <c r="J42" s="7">
        <v>1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1</v>
      </c>
      <c r="H43" s="8">
        <v>0</v>
      </c>
      <c r="I43" s="7">
        <v>1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pt6315_write_byte(B11001010);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pt6315_write_byte(B10011010);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pt6315_write_byte(B00010110);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B01000010</v>
      </c>
      <c r="G49" s="5" t="str">
        <f t="shared" ref="G49:L49" si="0">"B"&amp;G30&amp;G29&amp;G28&amp;G27&amp;G26&amp;G25&amp;G24&amp;G23</f>
        <v>B10001010</v>
      </c>
      <c r="H49" s="5" t="str">
        <f t="shared" si="0"/>
        <v>B10010110</v>
      </c>
      <c r="I49" s="5" t="str">
        <f t="shared" si="0"/>
        <v>B11001010</v>
      </c>
      <c r="J49" s="5" t="str">
        <f t="shared" si="0"/>
        <v>B01000100</v>
      </c>
      <c r="K49" s="5" t="str">
        <f t="shared" si="0"/>
        <v>B00010001</v>
      </c>
      <c r="L49" s="5" t="str">
        <f t="shared" si="0"/>
        <v>B00000110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B00100110</v>
      </c>
      <c r="G50" s="5" t="str">
        <f t="shared" ref="G50:L50" si="1">"B"&amp;G38&amp;G37&amp;G36&amp;G35&amp;G34&amp;G33&amp;G32&amp;G31</f>
        <v>B10001111</v>
      </c>
      <c r="H50" s="5" t="str">
        <f t="shared" si="1"/>
        <v>B10000110</v>
      </c>
      <c r="I50" s="5" t="str">
        <f t="shared" si="1"/>
        <v>B10011010</v>
      </c>
      <c r="J50" s="5" t="str">
        <f t="shared" si="1"/>
        <v>B01000100</v>
      </c>
      <c r="K50" s="5" t="str">
        <f t="shared" si="1"/>
        <v>B00010001</v>
      </c>
      <c r="L50" s="5" t="str">
        <f t="shared" si="1"/>
        <v>B00001000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B00000100</v>
      </c>
      <c r="G51" s="5" t="str">
        <f t="shared" ref="G51:L51" si="2">"B"&amp;G46&amp;G45&amp;G44&amp;G43&amp;G42&amp;G41&amp;G40&amp;G39</f>
        <v>B00010110</v>
      </c>
      <c r="H51" s="5" t="str">
        <f t="shared" si="2"/>
        <v>B00000110</v>
      </c>
      <c r="I51" s="5" t="str">
        <f t="shared" si="2"/>
        <v>B00010110</v>
      </c>
      <c r="J51" s="5" t="str">
        <f t="shared" si="2"/>
        <v>B00001000</v>
      </c>
      <c r="K51" s="5" t="str">
        <f t="shared" si="2"/>
        <v>B00000001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pt6315_write_byte(B01000100);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pt6315_write_byte(B01000100);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pt6315_write_byte(B00001000);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pt6315_write_byte(B00010001);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pt6315_write_byte(B00010001);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pt6315_write_byte(B00000001);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pt6315_write_byte(B00000110);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pt6315_write_byte(B00001000);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E2D9-B34A-4CB2-AA50-FD4E73003F90}">
  <sheetPr codeName="Sheet11"/>
  <dimension ref="B3:AG69"/>
  <sheetViews>
    <sheetView showGridLines="0" zoomScaleNormal="100" workbookViewId="0">
      <selection activeCell="S21" sqref="S21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1</v>
      </c>
      <c r="G23" s="7">
        <v>1</v>
      </c>
      <c r="H23" s="7">
        <v>1</v>
      </c>
      <c r="I23" s="7">
        <v>0</v>
      </c>
      <c r="J23" s="7">
        <v>1</v>
      </c>
      <c r="K23" s="7">
        <v>1</v>
      </c>
      <c r="L23" s="7">
        <v>0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1</v>
      </c>
      <c r="O24" s="3" t="str">
        <f>"pt6315_write_byte("&amp;F49&amp;"); // segments 7 - 0"</f>
        <v>pt6315_write_byte(B01010101);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1</v>
      </c>
      <c r="G25" s="7">
        <v>1</v>
      </c>
      <c r="H25" s="7">
        <v>1</v>
      </c>
      <c r="I25" s="7">
        <v>0</v>
      </c>
      <c r="J25" s="7">
        <v>1</v>
      </c>
      <c r="K25" s="7">
        <v>1</v>
      </c>
      <c r="L25" s="7">
        <v>1</v>
      </c>
      <c r="O25" s="3" t="str">
        <f>"pt6315_write_byte("&amp;F50&amp;"); // segments 15 - 8"</f>
        <v>pt6315_write_byte(B01010010);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O26" s="3" t="str">
        <f>"pt6315_write_byte("&amp;F51&amp;"); // 3 unused bits + seg. 20 - 16"</f>
        <v>pt6315_write_byte(B00001001);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1</v>
      </c>
      <c r="G27" s="7">
        <v>0</v>
      </c>
      <c r="H27" s="7">
        <v>0</v>
      </c>
      <c r="I27" s="7">
        <v>1</v>
      </c>
      <c r="J27" s="7">
        <v>0</v>
      </c>
      <c r="K27" s="7">
        <v>0</v>
      </c>
      <c r="L27" s="7">
        <v>0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1</v>
      </c>
      <c r="K28" s="7">
        <v>0</v>
      </c>
      <c r="L28" s="7">
        <v>0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1</v>
      </c>
      <c r="G29" s="7">
        <v>0</v>
      </c>
      <c r="H29" s="7">
        <v>0</v>
      </c>
      <c r="I29" s="7">
        <v>1</v>
      </c>
      <c r="J29" s="7">
        <v>0</v>
      </c>
      <c r="K29" s="7">
        <v>0</v>
      </c>
      <c r="L29" s="7">
        <v>1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0</v>
      </c>
      <c r="G31" s="7">
        <v>1</v>
      </c>
      <c r="H31" s="7">
        <v>0</v>
      </c>
      <c r="I31" s="7">
        <v>0</v>
      </c>
      <c r="J31" s="7">
        <v>0</v>
      </c>
      <c r="K31" s="7">
        <v>1</v>
      </c>
      <c r="L31" s="7">
        <v>0</v>
      </c>
      <c r="O31" s="3" t="str">
        <f>"pt6315_write_byte("&amp;G49&amp;"); // segments 7 - 0"</f>
        <v>pt6315_write_byte(B00000101);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1</v>
      </c>
      <c r="H32" s="7">
        <v>0</v>
      </c>
      <c r="I32" s="7">
        <v>0</v>
      </c>
      <c r="J32" s="7">
        <v>1</v>
      </c>
      <c r="K32" s="7">
        <v>1</v>
      </c>
      <c r="L32" s="7">
        <v>0</v>
      </c>
      <c r="O32" s="3" t="str">
        <f>"pt6315_write_byte("&amp;G50&amp;"); // segments 15 - 8"</f>
        <v>pt6315_write_byte(B10001111);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0</v>
      </c>
      <c r="G33" s="7">
        <v>1</v>
      </c>
      <c r="H33" s="7">
        <v>0</v>
      </c>
      <c r="I33" s="7">
        <v>0</v>
      </c>
      <c r="J33" s="7">
        <v>0</v>
      </c>
      <c r="K33" s="7">
        <v>1</v>
      </c>
      <c r="L33" s="7">
        <v>1</v>
      </c>
      <c r="O33" s="3" t="str">
        <f>"pt6315_write_byte("&amp;G51&amp;"); // 3 unused bits + seg. 20 - 16"</f>
        <v>pt6315_write_byte(B00000110);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0</v>
      </c>
      <c r="G34" s="7">
        <v>1</v>
      </c>
      <c r="H34" s="7">
        <v>1</v>
      </c>
      <c r="I34" s="7">
        <v>0</v>
      </c>
      <c r="J34" s="7">
        <v>0</v>
      </c>
      <c r="K34" s="7">
        <v>0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1</v>
      </c>
      <c r="G35" s="7">
        <v>0</v>
      </c>
      <c r="H35" s="7">
        <v>0</v>
      </c>
      <c r="I35" s="7">
        <v>1</v>
      </c>
      <c r="J35" s="7">
        <v>0</v>
      </c>
      <c r="K35" s="7">
        <v>0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1</v>
      </c>
      <c r="G37" s="7">
        <v>0</v>
      </c>
      <c r="H37" s="7">
        <v>0</v>
      </c>
      <c r="I37" s="7">
        <v>1</v>
      </c>
      <c r="J37" s="7">
        <v>0</v>
      </c>
      <c r="K37" s="7">
        <v>1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0</v>
      </c>
      <c r="G38" s="7">
        <v>1</v>
      </c>
      <c r="H38" s="7">
        <v>1</v>
      </c>
      <c r="I38" s="7">
        <v>0</v>
      </c>
      <c r="J38" s="7">
        <v>0</v>
      </c>
      <c r="K38" s="7">
        <v>1</v>
      </c>
      <c r="L38" s="8">
        <v>0</v>
      </c>
      <c r="O38" s="3" t="str">
        <f>"pt6315_write_byte("&amp;H49&amp;"); // segments 7 - 0"</f>
        <v>pt6315_write_byte(B00000101);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1</v>
      </c>
      <c r="G39" s="7">
        <v>0</v>
      </c>
      <c r="H39" s="7">
        <v>0</v>
      </c>
      <c r="I39" s="7">
        <v>0</v>
      </c>
      <c r="J39" s="7">
        <v>1</v>
      </c>
      <c r="K39" s="7">
        <v>0</v>
      </c>
      <c r="L39" s="8">
        <v>0</v>
      </c>
      <c r="O39" s="3" t="str">
        <f>"pt6315_write_byte("&amp;H50&amp;"); // segments 15 - 8"</f>
        <v>pt6315_write_byte(B10001000);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1</v>
      </c>
      <c r="I40" s="7">
        <v>0</v>
      </c>
      <c r="J40" s="7">
        <v>1</v>
      </c>
      <c r="K40" s="7">
        <v>0</v>
      </c>
      <c r="L40" s="8">
        <v>0</v>
      </c>
      <c r="O40" s="3" t="str">
        <f>"pt6315_write_byte("&amp;H51&amp;"); // 3 unused bits + seg. 20 - 16"</f>
        <v>pt6315_write_byte(B00000110);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1</v>
      </c>
      <c r="H41" s="7">
        <v>1</v>
      </c>
      <c r="I41" s="7">
        <v>0</v>
      </c>
      <c r="J41" s="7">
        <v>1</v>
      </c>
      <c r="K41" s="7">
        <v>0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1</v>
      </c>
      <c r="G42" s="7">
        <v>0</v>
      </c>
      <c r="H42" s="7">
        <v>0</v>
      </c>
      <c r="I42" s="7">
        <v>0</v>
      </c>
      <c r="J42" s="7">
        <v>1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pt6315_write_byte(B01010000);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pt6315_write_byte(B01010000);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pt6315_write_byte(B00000000);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B01010101</v>
      </c>
      <c r="G49" s="5" t="str">
        <f t="shared" ref="G49:L49" si="0">"B"&amp;G30&amp;G29&amp;G28&amp;G27&amp;G26&amp;G25&amp;G24&amp;G23</f>
        <v>B00000101</v>
      </c>
      <c r="H49" s="5" t="str">
        <f t="shared" si="0"/>
        <v>B00000101</v>
      </c>
      <c r="I49" s="5" t="str">
        <f t="shared" si="0"/>
        <v>B01010000</v>
      </c>
      <c r="J49" s="5" t="str">
        <f t="shared" si="0"/>
        <v>B00100101</v>
      </c>
      <c r="K49" s="5" t="str">
        <f t="shared" si="0"/>
        <v>B00000101</v>
      </c>
      <c r="L49" s="5" t="str">
        <f t="shared" si="0"/>
        <v>B11000110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B01010010</v>
      </c>
      <c r="G50" s="5" t="str">
        <f t="shared" ref="G50:L50" si="1">"B"&amp;G38&amp;G37&amp;G36&amp;G35&amp;G34&amp;G33&amp;G32&amp;G31</f>
        <v>B10001111</v>
      </c>
      <c r="H50" s="5" t="str">
        <f t="shared" si="1"/>
        <v>B10001000</v>
      </c>
      <c r="I50" s="5" t="str">
        <f t="shared" si="1"/>
        <v>B01010000</v>
      </c>
      <c r="J50" s="5" t="str">
        <f t="shared" si="1"/>
        <v>B00000010</v>
      </c>
      <c r="K50" s="5" t="str">
        <f t="shared" si="1"/>
        <v>B11000111</v>
      </c>
      <c r="L50" s="5" t="str">
        <f t="shared" si="1"/>
        <v>B00000100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B00001001</v>
      </c>
      <c r="G51" s="5" t="str">
        <f t="shared" ref="G51:L51" si="2">"B"&amp;G46&amp;G45&amp;G44&amp;G43&amp;G42&amp;G41&amp;G40&amp;G39</f>
        <v>B00000110</v>
      </c>
      <c r="H51" s="5" t="str">
        <f t="shared" si="2"/>
        <v>B00000110</v>
      </c>
      <c r="I51" s="5" t="str">
        <f t="shared" si="2"/>
        <v>B00000000</v>
      </c>
      <c r="J51" s="5" t="str">
        <f t="shared" si="2"/>
        <v>B00001111</v>
      </c>
      <c r="K51" s="5" t="str">
        <f t="shared" si="2"/>
        <v>B00000000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pt6315_write_byte(B00100101);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pt6315_write_byte(B00000010);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pt6315_write_byte(B00001111);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pt6315_write_byte(B00000101);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pt6315_write_byte(B11000111);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pt6315_write_byte(B00000000);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pt6315_write_byte(B11000110);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pt6315_write_byte(B00000100);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F37A1-C59A-431E-A115-06310121A31D}">
  <sheetPr codeName="Sheet12"/>
  <dimension ref="B3:AG69"/>
  <sheetViews>
    <sheetView showGridLines="0" tabSelected="1" zoomScaleNormal="100" workbookViewId="0">
      <selection activeCell="AC52" sqref="AC52"/>
    </sheetView>
  </sheetViews>
  <sheetFormatPr defaultRowHeight="15" x14ac:dyDescent="0.25"/>
  <cols>
    <col min="6" max="29" width="7" customWidth="1"/>
  </cols>
  <sheetData>
    <row r="3" spans="2:3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2:3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2:3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2:3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2:3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2:3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2:3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2:3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2:3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2:3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2:3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2:3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2:3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2:3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1" spans="2:33" x14ac:dyDescent="0.25">
      <c r="C21" s="2"/>
      <c r="D21" s="2"/>
      <c r="O21" s="3" t="s">
        <v>11</v>
      </c>
      <c r="P21" s="3"/>
      <c r="Q21" s="3"/>
      <c r="R21" s="3"/>
      <c r="S21" s="3"/>
      <c r="T21" s="10"/>
      <c r="U21" s="10"/>
      <c r="V21" s="10"/>
      <c r="W21" s="10"/>
      <c r="X21" s="10"/>
    </row>
    <row r="22" spans="2:33" x14ac:dyDescent="0.25">
      <c r="C22" s="6" t="s">
        <v>0</v>
      </c>
      <c r="D22" s="6" t="s">
        <v>19</v>
      </c>
      <c r="E22" s="6" t="s">
        <v>1</v>
      </c>
      <c r="F22" s="6">
        <v>0</v>
      </c>
      <c r="G22" s="6">
        <v>1</v>
      </c>
      <c r="H22" s="6">
        <v>2</v>
      </c>
      <c r="I22" s="6">
        <v>3</v>
      </c>
      <c r="J22" s="6">
        <v>4</v>
      </c>
      <c r="K22" s="6">
        <v>5</v>
      </c>
      <c r="L22" s="6">
        <v>6</v>
      </c>
      <c r="O22" s="3" t="s">
        <v>20</v>
      </c>
      <c r="P22" s="3"/>
      <c r="Q22" s="3"/>
      <c r="R22" s="3"/>
      <c r="S22" s="3"/>
      <c r="T22" s="10"/>
      <c r="U22" s="10"/>
      <c r="V22" s="10"/>
      <c r="W22" s="10"/>
      <c r="X22" s="10"/>
    </row>
    <row r="23" spans="2:33" x14ac:dyDescent="0.25">
      <c r="C23" s="6">
        <v>0</v>
      </c>
      <c r="D23" s="11" t="s">
        <v>2</v>
      </c>
      <c r="E23" s="6" t="s">
        <v>3</v>
      </c>
      <c r="F23" s="7">
        <v>1</v>
      </c>
      <c r="G23" s="7">
        <v>0</v>
      </c>
      <c r="H23" s="7">
        <v>1</v>
      </c>
      <c r="I23" s="7">
        <v>1</v>
      </c>
      <c r="J23" s="7">
        <v>0</v>
      </c>
      <c r="K23" s="7">
        <v>1</v>
      </c>
      <c r="L23" s="7">
        <v>1</v>
      </c>
      <c r="O23" s="3" t="s">
        <v>22</v>
      </c>
      <c r="P23" s="3"/>
      <c r="Q23" s="3"/>
      <c r="R23" s="3"/>
      <c r="S23" s="3"/>
      <c r="T23" s="10"/>
      <c r="U23" s="10"/>
      <c r="V23" s="10"/>
      <c r="W23" s="10"/>
      <c r="X23" s="10"/>
    </row>
    <row r="24" spans="2:33" x14ac:dyDescent="0.25">
      <c r="C24" s="6">
        <v>1</v>
      </c>
      <c r="D24" s="11"/>
      <c r="E24" s="6" t="s">
        <v>4</v>
      </c>
      <c r="F24" s="7">
        <v>1</v>
      </c>
      <c r="G24" s="7">
        <v>1</v>
      </c>
      <c r="H24" s="7">
        <v>1</v>
      </c>
      <c r="I24" s="7">
        <v>0</v>
      </c>
      <c r="J24" s="7">
        <v>1</v>
      </c>
      <c r="K24" s="7">
        <v>0</v>
      </c>
      <c r="L24" s="7">
        <v>0</v>
      </c>
      <c r="O24" s="3" t="str">
        <f>"pt6315_write_byte("&amp;F49&amp;"); // segments 7 - 0"</f>
        <v>pt6315_write_byte(B01001011); // segments 7 - 0</v>
      </c>
      <c r="P24" s="3"/>
      <c r="Q24" s="3"/>
      <c r="R24" s="3"/>
      <c r="S24" s="3"/>
      <c r="T24" s="10"/>
      <c r="U24" s="10"/>
      <c r="V24" s="10"/>
      <c r="W24" s="10"/>
      <c r="X24" s="10"/>
    </row>
    <row r="25" spans="2:33" x14ac:dyDescent="0.25">
      <c r="C25" s="6">
        <v>2</v>
      </c>
      <c r="D25" s="11"/>
      <c r="E25" s="6" t="s">
        <v>5</v>
      </c>
      <c r="F25" s="7">
        <v>0</v>
      </c>
      <c r="G25" s="7">
        <v>0</v>
      </c>
      <c r="H25" s="7">
        <v>0</v>
      </c>
      <c r="I25" s="7">
        <v>1</v>
      </c>
      <c r="J25" s="7">
        <v>0</v>
      </c>
      <c r="K25" s="7">
        <v>1</v>
      </c>
      <c r="L25" s="7">
        <v>1</v>
      </c>
      <c r="O25" s="3" t="str">
        <f>"pt6315_write_byte("&amp;F50&amp;"); // segments 15 - 8"</f>
        <v>pt6315_write_byte(B00001011); // segments 15 - 8</v>
      </c>
      <c r="P25" s="3"/>
      <c r="Q25" s="3"/>
      <c r="R25" s="3"/>
      <c r="S25" s="3"/>
      <c r="T25" s="10"/>
      <c r="U25" s="10"/>
      <c r="V25" s="10"/>
      <c r="W25" s="10"/>
      <c r="X25" s="10"/>
    </row>
    <row r="26" spans="2:33" x14ac:dyDescent="0.25">
      <c r="C26" s="6">
        <v>3</v>
      </c>
      <c r="D26" s="11"/>
      <c r="E26" s="6" t="s">
        <v>6</v>
      </c>
      <c r="F26" s="7">
        <v>1</v>
      </c>
      <c r="G26" s="7">
        <v>1</v>
      </c>
      <c r="H26" s="7">
        <v>1</v>
      </c>
      <c r="I26" s="7">
        <v>1</v>
      </c>
      <c r="J26" s="7">
        <v>1</v>
      </c>
      <c r="K26" s="7">
        <v>1</v>
      </c>
      <c r="L26" s="7">
        <v>0</v>
      </c>
      <c r="O26" s="3" t="str">
        <f>"pt6315_write_byte("&amp;F51&amp;"); // 3 unused bits + seg. 20 - 16"</f>
        <v>pt6315_write_byte(B00000001); // 3 unused bits + seg. 20 - 16</v>
      </c>
      <c r="P26" s="3"/>
      <c r="Q26" s="3"/>
      <c r="R26" s="3"/>
      <c r="S26" s="3"/>
      <c r="T26" s="10"/>
      <c r="U26" s="10"/>
      <c r="V26" s="10"/>
      <c r="W26" s="10"/>
      <c r="X26" s="10"/>
    </row>
    <row r="27" spans="2:33" x14ac:dyDescent="0.25">
      <c r="C27" s="6">
        <v>4</v>
      </c>
      <c r="D27" s="11"/>
      <c r="E27" s="6" t="s">
        <v>7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1</v>
      </c>
      <c r="O27" s="3" t="s">
        <v>21</v>
      </c>
      <c r="P27" s="3"/>
      <c r="Q27" s="3"/>
      <c r="R27" s="3"/>
      <c r="S27" s="3"/>
      <c r="T27" s="10"/>
      <c r="U27" s="10"/>
      <c r="V27" s="10"/>
      <c r="W27" s="10"/>
      <c r="X27" s="10"/>
    </row>
    <row r="28" spans="2:33" x14ac:dyDescent="0.25">
      <c r="C28" s="6">
        <v>5</v>
      </c>
      <c r="D28" s="11"/>
      <c r="E28" s="6" t="s">
        <v>8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  <c r="O28" s="3" t="s">
        <v>12</v>
      </c>
      <c r="P28" s="3"/>
      <c r="Q28" s="3"/>
      <c r="R28" s="3"/>
      <c r="S28" s="3"/>
      <c r="T28" s="10"/>
      <c r="U28" s="10"/>
      <c r="V28" s="10"/>
      <c r="W28" s="10"/>
      <c r="X28" s="10"/>
    </row>
    <row r="29" spans="2:33" x14ac:dyDescent="0.25">
      <c r="C29" s="6">
        <v>6</v>
      </c>
      <c r="D29" s="11"/>
      <c r="E29" s="6" t="s">
        <v>9</v>
      </c>
      <c r="F29" s="7">
        <v>1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O29" s="3" t="s">
        <v>20</v>
      </c>
      <c r="P29" s="3"/>
      <c r="Q29" s="3"/>
      <c r="R29" s="3"/>
      <c r="S29" s="3"/>
      <c r="T29" s="10"/>
      <c r="U29" s="10"/>
      <c r="V29" s="10"/>
      <c r="W29" s="10"/>
      <c r="X29" s="10"/>
    </row>
    <row r="30" spans="2:33" x14ac:dyDescent="0.25">
      <c r="C30" s="6">
        <v>7</v>
      </c>
      <c r="D30" s="11"/>
      <c r="E30" s="6" t="s">
        <v>10</v>
      </c>
      <c r="F30" s="7">
        <v>0</v>
      </c>
      <c r="G30" s="7">
        <v>0</v>
      </c>
      <c r="H30" s="7">
        <v>1</v>
      </c>
      <c r="I30" s="7">
        <v>1</v>
      </c>
      <c r="J30" s="7">
        <v>1</v>
      </c>
      <c r="K30" s="7">
        <v>1</v>
      </c>
      <c r="L30" s="7">
        <v>1</v>
      </c>
      <c r="O30" s="3" t="s">
        <v>23</v>
      </c>
      <c r="P30" s="3"/>
      <c r="Q30" s="3"/>
      <c r="R30" s="3"/>
      <c r="S30" s="3"/>
      <c r="T30" s="10"/>
      <c r="U30" s="10"/>
      <c r="V30" s="10"/>
      <c r="W30" s="10"/>
      <c r="X30" s="10"/>
    </row>
    <row r="31" spans="2:33" x14ac:dyDescent="0.25">
      <c r="C31" s="6">
        <v>8</v>
      </c>
      <c r="D31" s="11" t="s">
        <v>17</v>
      </c>
      <c r="E31" s="6" t="s">
        <v>3</v>
      </c>
      <c r="F31" s="7">
        <v>1</v>
      </c>
      <c r="G31" s="7">
        <v>0</v>
      </c>
      <c r="H31" s="7">
        <v>1</v>
      </c>
      <c r="I31" s="7">
        <v>0</v>
      </c>
      <c r="J31" s="7">
        <v>1</v>
      </c>
      <c r="K31" s="7">
        <v>1</v>
      </c>
      <c r="L31" s="7">
        <v>0</v>
      </c>
      <c r="O31" s="3" t="str">
        <f>"pt6315_write_byte("&amp;G49&amp;"); // segments 7 - 0"</f>
        <v>pt6315_write_byte(B00001010); // segments 7 - 0</v>
      </c>
      <c r="P31" s="3"/>
      <c r="Q31" s="3"/>
      <c r="R31" s="3"/>
      <c r="S31" s="3"/>
      <c r="T31" s="10"/>
      <c r="U31" s="10"/>
      <c r="V31" s="10"/>
      <c r="W31" s="10"/>
      <c r="X31" s="10"/>
    </row>
    <row r="32" spans="2:33" x14ac:dyDescent="0.25">
      <c r="C32" s="6">
        <v>9</v>
      </c>
      <c r="D32" s="11"/>
      <c r="E32" s="6" t="s">
        <v>4</v>
      </c>
      <c r="F32" s="7">
        <v>1</v>
      </c>
      <c r="G32" s="7">
        <v>0</v>
      </c>
      <c r="H32" s="7">
        <v>1</v>
      </c>
      <c r="I32" s="7">
        <v>1</v>
      </c>
      <c r="J32" s="7">
        <v>1</v>
      </c>
      <c r="K32" s="7">
        <v>1</v>
      </c>
      <c r="L32" s="7">
        <v>0</v>
      </c>
      <c r="O32" s="3" t="str">
        <f>"pt6315_write_byte("&amp;G50&amp;"); // segments 15 - 8"</f>
        <v>pt6315_write_byte(B00001000); // segments 15 - 8</v>
      </c>
      <c r="P32" s="3"/>
      <c r="Q32" s="3"/>
      <c r="R32" s="3"/>
      <c r="S32" s="3"/>
      <c r="T32" s="10"/>
      <c r="U32" s="10"/>
      <c r="V32" s="10"/>
      <c r="W32" s="10"/>
      <c r="X32" s="10"/>
    </row>
    <row r="33" spans="3:24" x14ac:dyDescent="0.25">
      <c r="C33" s="6">
        <v>10</v>
      </c>
      <c r="D33" s="11"/>
      <c r="E33" s="6" t="s">
        <v>5</v>
      </c>
      <c r="F33" s="7">
        <v>0</v>
      </c>
      <c r="G33" s="7">
        <v>0</v>
      </c>
      <c r="H33" s="7">
        <v>1</v>
      </c>
      <c r="I33" s="7">
        <v>0</v>
      </c>
      <c r="J33" s="7">
        <v>1</v>
      </c>
      <c r="K33" s="7">
        <v>1</v>
      </c>
      <c r="L33" s="7">
        <v>1</v>
      </c>
      <c r="O33" s="3" t="str">
        <f>"pt6315_write_byte("&amp;G51&amp;"); // 3 unused bits + seg. 20 - 16"</f>
        <v>pt6315_write_byte(B00000110); // 3 unused bits + seg. 20 - 16</v>
      </c>
      <c r="P33" s="3"/>
      <c r="Q33" s="3"/>
      <c r="R33" s="3"/>
      <c r="S33" s="3"/>
      <c r="T33" s="10"/>
      <c r="U33" s="10"/>
      <c r="V33" s="10"/>
      <c r="W33" s="10"/>
      <c r="X33" s="10"/>
    </row>
    <row r="34" spans="3:24" x14ac:dyDescent="0.25">
      <c r="C34" s="6">
        <v>11</v>
      </c>
      <c r="D34" s="11"/>
      <c r="E34" s="6" t="s">
        <v>6</v>
      </c>
      <c r="F34" s="7">
        <v>1</v>
      </c>
      <c r="G34" s="7">
        <v>1</v>
      </c>
      <c r="H34" s="7">
        <v>1</v>
      </c>
      <c r="I34" s="7">
        <v>1</v>
      </c>
      <c r="J34" s="7">
        <v>1</v>
      </c>
      <c r="K34" s="7">
        <v>0</v>
      </c>
      <c r="L34" s="7">
        <v>0</v>
      </c>
      <c r="O34" s="3" t="s">
        <v>21</v>
      </c>
      <c r="P34" s="3"/>
      <c r="Q34" s="3"/>
      <c r="R34" s="3"/>
      <c r="S34" s="3"/>
      <c r="T34" s="10"/>
      <c r="U34" s="10"/>
      <c r="V34" s="10"/>
      <c r="W34" s="10"/>
      <c r="X34" s="10"/>
    </row>
    <row r="35" spans="3:24" x14ac:dyDescent="0.25">
      <c r="C35" s="6">
        <v>12</v>
      </c>
      <c r="D35" s="11"/>
      <c r="E35" s="6" t="s">
        <v>7</v>
      </c>
      <c r="F35" s="7">
        <v>0</v>
      </c>
      <c r="G35" s="7">
        <v>0</v>
      </c>
      <c r="H35" s="7">
        <v>0</v>
      </c>
      <c r="I35" s="7">
        <v>1</v>
      </c>
      <c r="J35" s="7">
        <v>0</v>
      </c>
      <c r="K35" s="7">
        <v>0</v>
      </c>
      <c r="L35" s="7">
        <v>0</v>
      </c>
      <c r="O35" s="3" t="s">
        <v>13</v>
      </c>
      <c r="P35" s="3"/>
      <c r="Q35" s="3"/>
      <c r="R35" s="3"/>
      <c r="S35" s="3"/>
      <c r="T35" s="10"/>
      <c r="U35" s="10"/>
      <c r="V35" s="10"/>
      <c r="W35" s="10"/>
      <c r="X35" s="10"/>
    </row>
    <row r="36" spans="3:24" x14ac:dyDescent="0.25">
      <c r="C36" s="6">
        <v>13</v>
      </c>
      <c r="D36" s="11"/>
      <c r="E36" s="6" t="s">
        <v>8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8">
        <v>0</v>
      </c>
      <c r="O36" s="3" t="s">
        <v>20</v>
      </c>
      <c r="P36" s="3"/>
      <c r="Q36" s="3"/>
      <c r="R36" s="3"/>
      <c r="S36" s="3"/>
      <c r="T36" s="10"/>
      <c r="U36" s="10"/>
      <c r="V36" s="10"/>
      <c r="W36" s="10"/>
      <c r="X36" s="10"/>
    </row>
    <row r="37" spans="3:24" x14ac:dyDescent="0.25">
      <c r="C37" s="6">
        <v>14</v>
      </c>
      <c r="D37" s="11"/>
      <c r="E37" s="6" t="s">
        <v>9</v>
      </c>
      <c r="F37" s="7">
        <v>0</v>
      </c>
      <c r="G37" s="7">
        <v>0</v>
      </c>
      <c r="H37" s="7">
        <v>0</v>
      </c>
      <c r="I37" s="7">
        <v>1</v>
      </c>
      <c r="J37" s="7">
        <v>0</v>
      </c>
      <c r="K37" s="7">
        <v>0</v>
      </c>
      <c r="L37" s="8">
        <v>0</v>
      </c>
      <c r="O37" s="3" t="s">
        <v>24</v>
      </c>
      <c r="P37" s="3"/>
      <c r="Q37" s="3"/>
      <c r="R37" s="3"/>
      <c r="S37" s="3"/>
      <c r="T37" s="10"/>
      <c r="U37" s="10"/>
      <c r="V37" s="10"/>
      <c r="W37" s="10"/>
      <c r="X37" s="10"/>
    </row>
    <row r="38" spans="3:24" x14ac:dyDescent="0.25">
      <c r="C38" s="6">
        <v>15</v>
      </c>
      <c r="D38" s="11"/>
      <c r="E38" s="6" t="s">
        <v>10</v>
      </c>
      <c r="F38" s="7">
        <v>0</v>
      </c>
      <c r="G38" s="7">
        <v>0</v>
      </c>
      <c r="H38" s="7">
        <v>1</v>
      </c>
      <c r="I38" s="7">
        <v>1</v>
      </c>
      <c r="J38" s="7">
        <v>1</v>
      </c>
      <c r="K38" s="7">
        <v>1</v>
      </c>
      <c r="L38" s="8">
        <v>0</v>
      </c>
      <c r="O38" s="3" t="str">
        <f>"pt6315_write_byte("&amp;H49&amp;"); // segments 7 - 0"</f>
        <v>pt6315_write_byte(B10001011); // segments 7 - 0</v>
      </c>
      <c r="P38" s="3"/>
      <c r="Q38" s="3"/>
      <c r="R38" s="3"/>
      <c r="S38" s="3"/>
      <c r="T38" s="10"/>
      <c r="U38" s="10"/>
      <c r="V38" s="10"/>
      <c r="W38" s="10"/>
      <c r="X38" s="10"/>
    </row>
    <row r="39" spans="3:24" x14ac:dyDescent="0.25">
      <c r="C39" s="6">
        <v>16</v>
      </c>
      <c r="D39" s="11" t="s">
        <v>18</v>
      </c>
      <c r="E39" s="6" t="s">
        <v>3</v>
      </c>
      <c r="F39" s="7">
        <v>1</v>
      </c>
      <c r="G39" s="7">
        <v>0</v>
      </c>
      <c r="H39" s="7">
        <v>1</v>
      </c>
      <c r="I39" s="7">
        <v>1</v>
      </c>
      <c r="J39" s="7">
        <v>1</v>
      </c>
      <c r="K39" s="7">
        <v>0</v>
      </c>
      <c r="L39" s="8">
        <v>0</v>
      </c>
      <c r="O39" s="3" t="str">
        <f>"pt6315_write_byte("&amp;H50&amp;"); // segments 15 - 8"</f>
        <v>pt6315_write_byte(B10001111); // segments 15 - 8</v>
      </c>
      <c r="P39" s="3"/>
      <c r="Q39" s="3"/>
      <c r="R39" s="3"/>
      <c r="S39" s="3"/>
      <c r="T39" s="10"/>
      <c r="U39" s="10"/>
      <c r="V39" s="10"/>
      <c r="W39" s="10"/>
      <c r="X39" s="10"/>
    </row>
    <row r="40" spans="3:24" x14ac:dyDescent="0.25">
      <c r="C40" s="6">
        <v>17</v>
      </c>
      <c r="D40" s="11"/>
      <c r="E40" s="6" t="s">
        <v>4</v>
      </c>
      <c r="F40" s="7">
        <v>0</v>
      </c>
      <c r="G40" s="7">
        <v>1</v>
      </c>
      <c r="H40" s="7">
        <v>1</v>
      </c>
      <c r="I40" s="7">
        <v>0</v>
      </c>
      <c r="J40" s="7">
        <v>0</v>
      </c>
      <c r="K40" s="7">
        <v>1</v>
      </c>
      <c r="L40" s="8">
        <v>0</v>
      </c>
      <c r="O40" s="3" t="str">
        <f>"pt6315_write_byte("&amp;H51&amp;"); // 3 unused bits + seg. 20 - 16"</f>
        <v>pt6315_write_byte(B00000111); // 3 unused bits + seg. 20 - 16</v>
      </c>
      <c r="P40" s="3"/>
      <c r="Q40" s="3"/>
      <c r="R40" s="3"/>
      <c r="S40" s="3"/>
      <c r="T40" s="10"/>
      <c r="U40" s="10"/>
      <c r="V40" s="10"/>
      <c r="W40" s="10"/>
      <c r="X40" s="10"/>
    </row>
    <row r="41" spans="3:24" x14ac:dyDescent="0.25">
      <c r="C41" s="6">
        <v>18</v>
      </c>
      <c r="D41" s="11"/>
      <c r="E41" s="6" t="s">
        <v>5</v>
      </c>
      <c r="F41" s="7">
        <v>0</v>
      </c>
      <c r="G41" s="7">
        <v>1</v>
      </c>
      <c r="H41" s="7">
        <v>1</v>
      </c>
      <c r="I41" s="7">
        <v>0</v>
      </c>
      <c r="J41" s="7">
        <v>0</v>
      </c>
      <c r="K41" s="7">
        <v>1</v>
      </c>
      <c r="L41" s="8">
        <v>0</v>
      </c>
      <c r="O41" s="3" t="s">
        <v>21</v>
      </c>
      <c r="P41" s="3"/>
      <c r="Q41" s="3"/>
      <c r="R41" s="3"/>
      <c r="S41" s="3"/>
      <c r="T41" s="10"/>
      <c r="U41" s="10"/>
      <c r="V41" s="10"/>
      <c r="W41" s="10"/>
      <c r="X41" s="10"/>
    </row>
    <row r="42" spans="3:24" x14ac:dyDescent="0.25">
      <c r="C42" s="6">
        <v>19</v>
      </c>
      <c r="D42" s="11"/>
      <c r="E42" s="6" t="s">
        <v>6</v>
      </c>
      <c r="F42" s="7">
        <v>0</v>
      </c>
      <c r="G42" s="7">
        <v>0</v>
      </c>
      <c r="H42" s="7">
        <v>0</v>
      </c>
      <c r="I42" s="7">
        <v>1</v>
      </c>
      <c r="J42" s="7">
        <v>1</v>
      </c>
      <c r="K42" s="7">
        <v>0</v>
      </c>
      <c r="L42" s="8">
        <v>0</v>
      </c>
      <c r="O42" s="3" t="s">
        <v>14</v>
      </c>
      <c r="P42" s="3"/>
      <c r="Q42" s="3"/>
      <c r="R42" s="3"/>
      <c r="S42" s="3"/>
      <c r="T42" s="10"/>
      <c r="U42" s="10"/>
      <c r="V42" s="10"/>
      <c r="W42" s="10"/>
      <c r="X42" s="10"/>
    </row>
    <row r="43" spans="3:24" x14ac:dyDescent="0.25">
      <c r="C43" s="6">
        <v>20</v>
      </c>
      <c r="D43" s="11"/>
      <c r="E43" s="6" t="s">
        <v>7</v>
      </c>
      <c r="F43" s="8">
        <v>0</v>
      </c>
      <c r="G43" s="7">
        <v>0</v>
      </c>
      <c r="H43" s="8">
        <v>0</v>
      </c>
      <c r="I43" s="7">
        <v>0</v>
      </c>
      <c r="J43" s="7">
        <v>0</v>
      </c>
      <c r="K43" s="8">
        <v>0</v>
      </c>
      <c r="L43" s="8">
        <v>0</v>
      </c>
      <c r="O43" s="3" t="s">
        <v>20</v>
      </c>
      <c r="P43" s="3"/>
      <c r="Q43" s="3"/>
      <c r="R43" s="3"/>
      <c r="S43" s="3"/>
      <c r="T43" s="10"/>
      <c r="U43" s="10"/>
      <c r="V43" s="10"/>
      <c r="W43" s="10"/>
      <c r="X43" s="10"/>
    </row>
    <row r="44" spans="3:24" x14ac:dyDescent="0.25">
      <c r="C44" s="6">
        <v>21</v>
      </c>
      <c r="D44" s="11"/>
      <c r="E44" s="6" t="s">
        <v>8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O44" s="3" t="s">
        <v>25</v>
      </c>
      <c r="P44" s="3"/>
      <c r="Q44" s="3"/>
      <c r="R44" s="3"/>
      <c r="S44" s="3"/>
      <c r="T44" s="10"/>
      <c r="U44" s="10"/>
      <c r="V44" s="10"/>
      <c r="W44" s="10"/>
      <c r="X44" s="10"/>
    </row>
    <row r="45" spans="3:24" x14ac:dyDescent="0.25">
      <c r="C45" s="6">
        <v>22</v>
      </c>
      <c r="D45" s="11"/>
      <c r="E45" s="6" t="s">
        <v>9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O45" s="3" t="str">
        <f>"pt6315_write_byte("&amp;I49&amp;"); // segments 7 - 0"</f>
        <v>pt6315_write_byte(B10001101); // segments 7 - 0</v>
      </c>
      <c r="P45" s="3"/>
      <c r="Q45" s="3"/>
      <c r="R45" s="3"/>
      <c r="S45" s="3"/>
      <c r="T45" s="10"/>
      <c r="U45" s="10"/>
      <c r="V45" s="10"/>
      <c r="W45" s="10"/>
      <c r="X45" s="10"/>
    </row>
    <row r="46" spans="3:24" x14ac:dyDescent="0.25">
      <c r="C46" s="6">
        <v>23</v>
      </c>
      <c r="D46" s="11"/>
      <c r="E46" s="6" t="s">
        <v>10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O46" s="3" t="str">
        <f>"pt6315_write_byte("&amp;I50&amp;"); // segments 15 - 8"</f>
        <v>pt6315_write_byte(B11011010); // segments 15 - 8</v>
      </c>
      <c r="P46" s="3"/>
      <c r="Q46" s="3"/>
      <c r="R46" s="3"/>
      <c r="S46" s="3"/>
      <c r="T46" s="10"/>
      <c r="U46" s="10"/>
      <c r="V46" s="10"/>
      <c r="W46" s="10"/>
      <c r="X46" s="10"/>
    </row>
    <row r="47" spans="3:24" x14ac:dyDescent="0.25">
      <c r="C47" s="4"/>
      <c r="D47" s="4"/>
      <c r="E47" s="4"/>
      <c r="F47" s="4"/>
      <c r="G47" s="4"/>
      <c r="H47" s="4"/>
      <c r="I47" s="4"/>
      <c r="J47" s="4"/>
      <c r="K47" s="4"/>
      <c r="L47" s="4"/>
      <c r="O47" s="3" t="str">
        <f>"pt6315_write_byte("&amp;I51&amp;"); // 3 unused bits + seg. 20 - 16"</f>
        <v>pt6315_write_byte(B00001001); // 3 unused bits + seg. 20 - 16</v>
      </c>
      <c r="P47" s="3"/>
      <c r="Q47" s="3"/>
      <c r="R47" s="3"/>
      <c r="S47" s="3"/>
      <c r="T47" s="10"/>
      <c r="U47" s="10"/>
      <c r="V47" s="10"/>
      <c r="W47" s="10"/>
      <c r="X47" s="10"/>
    </row>
    <row r="48" spans="3:24" x14ac:dyDescent="0.25">
      <c r="C48" s="4"/>
      <c r="D48" s="4"/>
      <c r="E48" s="4"/>
      <c r="F48" s="4"/>
      <c r="G48" s="4"/>
      <c r="H48" s="4"/>
      <c r="I48" s="4"/>
      <c r="J48" s="4"/>
      <c r="K48" s="4"/>
      <c r="L48" s="4"/>
      <c r="O48" s="3" t="s">
        <v>21</v>
      </c>
      <c r="P48" s="3"/>
      <c r="Q48" s="3"/>
      <c r="R48" s="3"/>
      <c r="S48" s="3"/>
      <c r="T48" s="10"/>
      <c r="U48" s="10"/>
      <c r="V48" s="10"/>
      <c r="W48" s="10"/>
      <c r="X48" s="10"/>
    </row>
    <row r="49" spans="3:24" x14ac:dyDescent="0.25">
      <c r="C49" s="4"/>
      <c r="D49" s="4"/>
      <c r="E49" s="9" t="s">
        <v>2</v>
      </c>
      <c r="F49" s="5" t="str">
        <f>"B"&amp;F30&amp;F29&amp;F28&amp;F27&amp;F26&amp;F25&amp;F24&amp;F23</f>
        <v>B01001011</v>
      </c>
      <c r="G49" s="5" t="str">
        <f t="shared" ref="G49:L49" si="0">"B"&amp;G30&amp;G29&amp;G28&amp;G27&amp;G26&amp;G25&amp;G24&amp;G23</f>
        <v>B00001010</v>
      </c>
      <c r="H49" s="5" t="str">
        <f t="shared" si="0"/>
        <v>B10001011</v>
      </c>
      <c r="I49" s="5" t="str">
        <f t="shared" si="0"/>
        <v>B10001101</v>
      </c>
      <c r="J49" s="5" t="str">
        <f t="shared" si="0"/>
        <v>B10001010</v>
      </c>
      <c r="K49" s="5" t="str">
        <f t="shared" si="0"/>
        <v>B10001101</v>
      </c>
      <c r="L49" s="5" t="str">
        <f t="shared" si="0"/>
        <v>B10110101</v>
      </c>
      <c r="O49" s="3" t="s">
        <v>15</v>
      </c>
      <c r="P49" s="3"/>
      <c r="Q49" s="3"/>
      <c r="R49" s="3"/>
      <c r="S49" s="3"/>
      <c r="T49" s="10"/>
      <c r="U49" s="10"/>
      <c r="V49" s="10"/>
      <c r="W49" s="10"/>
      <c r="X49" s="10"/>
    </row>
    <row r="50" spans="3:24" x14ac:dyDescent="0.25">
      <c r="C50" s="4"/>
      <c r="D50" s="4"/>
      <c r="E50" s="9" t="s">
        <v>17</v>
      </c>
      <c r="F50" s="5" t="str">
        <f>"B"&amp;F38&amp;F37&amp;F36&amp;F35&amp;F34&amp;F33&amp;F32&amp;F31</f>
        <v>B00001011</v>
      </c>
      <c r="G50" s="5" t="str">
        <f t="shared" ref="G50:L50" si="1">"B"&amp;G38&amp;G37&amp;G36&amp;G35&amp;G34&amp;G33&amp;G32&amp;G31</f>
        <v>B00001000</v>
      </c>
      <c r="H50" s="5" t="str">
        <f t="shared" si="1"/>
        <v>B10001111</v>
      </c>
      <c r="I50" s="5" t="str">
        <f t="shared" si="1"/>
        <v>B11011010</v>
      </c>
      <c r="J50" s="5" t="str">
        <f t="shared" si="1"/>
        <v>B10001111</v>
      </c>
      <c r="K50" s="5" t="str">
        <f t="shared" si="1"/>
        <v>B10000111</v>
      </c>
      <c r="L50" s="5" t="str">
        <f t="shared" si="1"/>
        <v>B00000100</v>
      </c>
      <c r="O50" s="3" t="s">
        <v>20</v>
      </c>
      <c r="P50" s="3"/>
      <c r="Q50" s="3"/>
      <c r="R50" s="3"/>
      <c r="S50" s="3"/>
      <c r="T50" s="10"/>
      <c r="U50" s="10"/>
      <c r="V50" s="10"/>
      <c r="W50" s="10"/>
      <c r="X50" s="10"/>
    </row>
    <row r="51" spans="3:24" x14ac:dyDescent="0.25">
      <c r="C51" s="4"/>
      <c r="D51" s="4"/>
      <c r="E51" s="9" t="s">
        <v>18</v>
      </c>
      <c r="F51" s="5" t="str">
        <f>"B"&amp;F46&amp;F45&amp;F44&amp;F43&amp;F42&amp;F41&amp;F40&amp;F39</f>
        <v>B00000001</v>
      </c>
      <c r="G51" s="5" t="str">
        <f t="shared" ref="G51:L51" si="2">"B"&amp;G46&amp;G45&amp;G44&amp;G43&amp;G42&amp;G41&amp;G40&amp;G39</f>
        <v>B00000110</v>
      </c>
      <c r="H51" s="5" t="str">
        <f t="shared" si="2"/>
        <v>B00000111</v>
      </c>
      <c r="I51" s="5" t="str">
        <f t="shared" si="2"/>
        <v>B00001001</v>
      </c>
      <c r="J51" s="5" t="str">
        <f t="shared" si="2"/>
        <v>B00001001</v>
      </c>
      <c r="K51" s="5" t="str">
        <f t="shared" si="2"/>
        <v>B00000110</v>
      </c>
      <c r="L51" s="5" t="str">
        <f t="shared" si="2"/>
        <v>B00000000</v>
      </c>
      <c r="O51" s="3" t="s">
        <v>26</v>
      </c>
      <c r="P51" s="3"/>
      <c r="Q51" s="3"/>
      <c r="R51" s="3"/>
      <c r="S51" s="3"/>
      <c r="T51" s="10"/>
      <c r="U51" s="10"/>
      <c r="V51" s="10"/>
      <c r="W51" s="10"/>
      <c r="X51" s="10"/>
    </row>
    <row r="52" spans="3:24" x14ac:dyDescent="0.25">
      <c r="O52" s="3" t="str">
        <f>"pt6315_write_byte("&amp;J49&amp;"); // segments 7 - 0"</f>
        <v>pt6315_write_byte(B10001010); // segments 7 - 0</v>
      </c>
      <c r="P52" s="3"/>
      <c r="Q52" s="3"/>
      <c r="R52" s="3"/>
      <c r="S52" s="3"/>
      <c r="T52" s="10"/>
      <c r="U52" s="10"/>
      <c r="V52" s="10"/>
      <c r="W52" s="10"/>
      <c r="X52" s="10"/>
    </row>
    <row r="53" spans="3:24" x14ac:dyDescent="0.25">
      <c r="O53" s="3" t="str">
        <f>"pt6315_write_byte("&amp;J50&amp;"); // segments 15 - 8"</f>
        <v>pt6315_write_byte(B10001111); // segments 15 - 8</v>
      </c>
      <c r="P53" s="3"/>
      <c r="Q53" s="3"/>
      <c r="R53" s="3"/>
      <c r="S53" s="3"/>
      <c r="T53" s="10"/>
      <c r="U53" s="10"/>
      <c r="V53" s="10"/>
      <c r="W53" s="10"/>
      <c r="X53" s="10"/>
    </row>
    <row r="54" spans="3:24" x14ac:dyDescent="0.25">
      <c r="O54" s="3" t="str">
        <f>"pt6315_write_byte("&amp;J51&amp;"); // 3 unused bits + seg. 20 - 16"</f>
        <v>pt6315_write_byte(B00001001); // 3 unused bits + seg. 20 - 16</v>
      </c>
      <c r="P54" s="3"/>
      <c r="Q54" s="3"/>
      <c r="R54" s="3"/>
      <c r="S54" s="3"/>
      <c r="T54" s="10"/>
      <c r="U54" s="10"/>
      <c r="V54" s="10"/>
      <c r="W54" s="10"/>
      <c r="X54" s="10"/>
    </row>
    <row r="55" spans="3:24" x14ac:dyDescent="0.25">
      <c r="O55" s="3" t="s">
        <v>21</v>
      </c>
      <c r="P55" s="3"/>
      <c r="Q55" s="3"/>
      <c r="R55" s="3"/>
      <c r="S55" s="3"/>
      <c r="T55" s="10"/>
      <c r="U55" s="10"/>
      <c r="V55" s="10"/>
      <c r="W55" s="10"/>
      <c r="X55" s="10"/>
    </row>
    <row r="56" spans="3:24" x14ac:dyDescent="0.25">
      <c r="O56" s="3" t="s">
        <v>16</v>
      </c>
      <c r="P56" s="3"/>
      <c r="Q56" s="3"/>
      <c r="R56" s="3"/>
      <c r="S56" s="3"/>
      <c r="T56" s="10"/>
      <c r="U56" s="10"/>
      <c r="V56" s="10"/>
      <c r="W56" s="10"/>
      <c r="X56" s="10"/>
    </row>
    <row r="57" spans="3:24" x14ac:dyDescent="0.25">
      <c r="O57" s="3" t="s">
        <v>20</v>
      </c>
      <c r="P57" s="3"/>
      <c r="Q57" s="3"/>
      <c r="R57" s="3"/>
      <c r="S57" s="3"/>
      <c r="T57" s="10"/>
      <c r="U57" s="10"/>
      <c r="V57" s="10"/>
      <c r="W57" s="10"/>
      <c r="X57" s="10"/>
    </row>
    <row r="58" spans="3:24" x14ac:dyDescent="0.25">
      <c r="O58" s="3" t="s">
        <v>27</v>
      </c>
      <c r="P58" s="3"/>
      <c r="Q58" s="3"/>
      <c r="R58" s="3"/>
      <c r="S58" s="3"/>
      <c r="T58" s="10"/>
      <c r="U58" s="10"/>
      <c r="V58" s="10"/>
      <c r="W58" s="10"/>
      <c r="X58" s="10"/>
    </row>
    <row r="59" spans="3:24" x14ac:dyDescent="0.25">
      <c r="O59" s="3" t="str">
        <f>"pt6315_write_byte("&amp;K49&amp;"); // segments 7 - 0"</f>
        <v>pt6315_write_byte(B10001101); // segments 7 - 0</v>
      </c>
      <c r="P59" s="3"/>
      <c r="Q59" s="3"/>
      <c r="R59" s="3"/>
      <c r="S59" s="3"/>
      <c r="T59" s="10"/>
      <c r="U59" s="10"/>
      <c r="V59" s="10"/>
      <c r="W59" s="10"/>
      <c r="X59" s="10"/>
    </row>
    <row r="60" spans="3:24" x14ac:dyDescent="0.25">
      <c r="O60" s="3" t="str">
        <f>"pt6315_write_byte("&amp;K50&amp;"); // segments 15 - 8"</f>
        <v>pt6315_write_byte(B10000111); // segments 15 - 8</v>
      </c>
      <c r="P60" s="3"/>
      <c r="Q60" s="3"/>
      <c r="R60" s="3"/>
      <c r="S60" s="3"/>
      <c r="T60" s="10"/>
      <c r="U60" s="10"/>
      <c r="V60" s="10"/>
      <c r="W60" s="10"/>
      <c r="X60" s="10"/>
    </row>
    <row r="61" spans="3:24" x14ac:dyDescent="0.25">
      <c r="O61" s="3" t="str">
        <f>"pt6315_write_byte("&amp;K51&amp;"); // 3 unused bits + seg. 20 - 16"</f>
        <v>pt6315_write_byte(B00000110); // 3 unused bits + seg. 20 - 16</v>
      </c>
      <c r="P61" s="3"/>
      <c r="Q61" s="3"/>
      <c r="R61" s="3"/>
      <c r="S61" s="3"/>
      <c r="T61" s="10"/>
      <c r="U61" s="10"/>
      <c r="V61" s="10"/>
      <c r="W61" s="10"/>
      <c r="X61" s="10"/>
    </row>
    <row r="62" spans="3:24" x14ac:dyDescent="0.25">
      <c r="O62" s="3" t="s">
        <v>21</v>
      </c>
      <c r="P62" s="3"/>
      <c r="Q62" s="3"/>
      <c r="R62" s="3"/>
      <c r="S62" s="3"/>
      <c r="T62" s="10"/>
      <c r="U62" s="10"/>
      <c r="V62" s="10"/>
      <c r="W62" s="10"/>
      <c r="X62" s="10"/>
    </row>
    <row r="63" spans="3:24" x14ac:dyDescent="0.25">
      <c r="O63" s="3" t="s">
        <v>29</v>
      </c>
      <c r="P63" s="3"/>
      <c r="Q63" s="3"/>
      <c r="R63" s="3"/>
      <c r="S63" s="3"/>
      <c r="T63" s="10"/>
      <c r="U63" s="10"/>
      <c r="V63" s="10"/>
      <c r="W63" s="10"/>
      <c r="X63" s="10"/>
    </row>
    <row r="64" spans="3:24" x14ac:dyDescent="0.25">
      <c r="O64" s="3" t="s">
        <v>20</v>
      </c>
      <c r="P64" s="3"/>
      <c r="Q64" s="3"/>
      <c r="R64" s="3"/>
      <c r="S64" s="3"/>
      <c r="T64" s="10"/>
      <c r="U64" s="10"/>
      <c r="V64" s="10"/>
      <c r="W64" s="10"/>
      <c r="X64" s="10"/>
    </row>
    <row r="65" spans="15:24" x14ac:dyDescent="0.25">
      <c r="O65" s="3" t="s">
        <v>28</v>
      </c>
      <c r="P65" s="3"/>
      <c r="Q65" s="3"/>
      <c r="R65" s="3"/>
      <c r="S65" s="3"/>
      <c r="T65" s="10"/>
      <c r="U65" s="10"/>
      <c r="V65" s="10"/>
      <c r="W65" s="10"/>
      <c r="X65" s="10"/>
    </row>
    <row r="66" spans="15:24" x14ac:dyDescent="0.25">
      <c r="O66" s="3" t="str">
        <f>"pt6315_write_byte("&amp;L49&amp;"); // segments 7 - 0"</f>
        <v>pt6315_write_byte(B10110101); // segments 7 - 0</v>
      </c>
      <c r="P66" s="3"/>
      <c r="Q66" s="3"/>
      <c r="R66" s="3"/>
      <c r="S66" s="3"/>
      <c r="T66" s="10"/>
      <c r="U66" s="10"/>
      <c r="V66" s="10"/>
      <c r="W66" s="10"/>
      <c r="X66" s="10"/>
    </row>
    <row r="67" spans="15:24" x14ac:dyDescent="0.25">
      <c r="O67" s="3" t="str">
        <f>"pt6315_write_byte("&amp;L50&amp;"); // red icons + segment 8"</f>
        <v>pt6315_write_byte(B00000100); // red icons + segment 8</v>
      </c>
      <c r="P67" s="3"/>
      <c r="Q67" s="3"/>
      <c r="R67" s="3"/>
      <c r="S67" s="3"/>
      <c r="T67" s="10"/>
      <c r="U67" s="10"/>
      <c r="V67" s="10"/>
      <c r="W67" s="10"/>
      <c r="X67" s="10"/>
    </row>
    <row r="68" spans="15:24" x14ac:dyDescent="0.25">
      <c r="O68" s="3" t="str">
        <f>"pt6315_write_byte("&amp;L51&amp;"); // unused bits"</f>
        <v>pt6315_write_byte(B00000000); // unused bits</v>
      </c>
      <c r="P68" s="3"/>
      <c r="Q68" s="3"/>
      <c r="R68" s="3"/>
      <c r="S68" s="3"/>
      <c r="T68" s="10"/>
      <c r="U68" s="10"/>
      <c r="V68" s="10"/>
      <c r="W68" s="10"/>
      <c r="X68" s="10"/>
    </row>
    <row r="69" spans="15:24" x14ac:dyDescent="0.25">
      <c r="O69" s="3" t="s">
        <v>21</v>
      </c>
      <c r="P69" s="3"/>
      <c r="Q69" s="3"/>
      <c r="R69" s="3"/>
      <c r="S69" s="3"/>
      <c r="T69" s="10"/>
      <c r="U69" s="10"/>
      <c r="V69" s="10"/>
      <c r="W69" s="10"/>
      <c r="X69" s="10"/>
    </row>
  </sheetData>
  <mergeCells count="3">
    <mergeCell ref="D23:D30"/>
    <mergeCell ref="D31:D38"/>
    <mergeCell ref="D39:D4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 love</vt:lpstr>
      <vt:lpstr>vfds</vt:lpstr>
      <vt:lpstr>hello</vt:lpstr>
      <vt:lpstr>world</vt:lpstr>
      <vt:lpstr>all lit</vt:lpstr>
      <vt:lpstr>1-6</vt:lpstr>
      <vt:lpstr>7-0</vt:lpstr>
      <vt:lpstr>smileys</vt:lpstr>
      <vt:lpstr>pcbway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Vaclav Krejci</cp:lastModifiedBy>
  <dcterms:created xsi:type="dcterms:W3CDTF">2024-12-03T10:04:33Z</dcterms:created>
  <dcterms:modified xsi:type="dcterms:W3CDTF">2024-12-20T14:54:51Z</dcterms:modified>
</cp:coreProperties>
</file>